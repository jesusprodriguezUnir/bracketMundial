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se de Grupos" state="visible" r:id="rId4"/>
    <sheet sheetId="2" name="CALC" state="hidden" r:id="rId5"/>
    <sheet sheetId="3" name="Eliminatorias" state="visible" r:id="rId6"/>
    <sheet sheetId="4" name="AWARDS_DATA" state="hidden" r:id="rId7"/>
    <sheet sheetId="5" name="Premios" state="visible" r:id="rId8"/>
    <sheet sheetId="6" name="MAP" state="hidden" r:id="rId9"/>
    <sheet sheetId="7" name="Reglas de Puntuación" state="visible" r:id="rId10"/>
  </sheets>
  <definedNames>
    <definedName name="AWARDS_TEAMS">'AWARDS_DATA'!$A$1:$A$48</definedName>
    <definedName name="PLAYERS_MEX">'AWARDS_DATA'!$B$1:$B$26</definedName>
    <definedName name="PLAYERS_RSA">'AWARDS_DATA'!$C$1:$C$26</definedName>
    <definedName name="PLAYERS_KOR">'AWARDS_DATA'!$D$1:$D$26</definedName>
    <definedName name="PLAYERS_CZE">'AWARDS_DATA'!$E$1:$E$26</definedName>
    <definedName name="PLAYERS_CAN">'AWARDS_DATA'!$F$1:$F$26</definedName>
    <definedName name="PLAYERS_SUI">'AWARDS_DATA'!$G$1:$G$26</definedName>
    <definedName name="PLAYERS_QAT">'AWARDS_DATA'!$H$1:$H$26</definedName>
    <definedName name="PLAYERS_BIH">'AWARDS_DATA'!$I$1:$I$26</definedName>
    <definedName name="PLAYERS_BRA">'AWARDS_DATA'!$J$1:$J$26</definedName>
    <definedName name="PLAYERS_MAR">'AWARDS_DATA'!$K$1:$K$26</definedName>
    <definedName name="PLAYERS_SCO">'AWARDS_DATA'!$L$1:$L$26</definedName>
    <definedName name="PLAYERS_HAI">'AWARDS_DATA'!$M$1:$M$26</definedName>
    <definedName name="PLAYERS_USA">'AWARDS_DATA'!$N$1:$N$26</definedName>
    <definedName name="PLAYERS_PAR">'AWARDS_DATA'!$O$1:$O$26</definedName>
    <definedName name="PLAYERS_AUS">'AWARDS_DATA'!$P$1:$P$26</definedName>
    <definedName name="PLAYERS_TUR">'AWARDS_DATA'!$Q$1:$Q$26</definedName>
    <definedName name="PLAYERS_GER">'AWARDS_DATA'!$R$1:$R$26</definedName>
    <definedName name="PLAYERS_CUW">'AWARDS_DATA'!$S$1:$S$26</definedName>
    <definedName name="PLAYERS_CIV">'AWARDS_DATA'!$T$1:$T$26</definedName>
    <definedName name="PLAYERS_ECU">'AWARDS_DATA'!$U$1:$U$26</definedName>
    <definedName name="PLAYERS_NED">'AWARDS_DATA'!$V$1:$V$26</definedName>
    <definedName name="PLAYERS_JPN">'AWARDS_DATA'!$W$1:$W$26</definedName>
    <definedName name="PLAYERS_TUN">'AWARDS_DATA'!$X$1:$X$26</definedName>
    <definedName name="PLAYERS_SWE">'AWARDS_DATA'!$Y$1:$Y$26</definedName>
    <definedName name="PLAYERS_BEL">'AWARDS_DATA'!$Z$1:$Z$26</definedName>
    <definedName name="PLAYERS_EGY">'AWARDS_DATA'!$AA$1:$AA$26</definedName>
    <definedName name="PLAYERS_IRN">'AWARDS_DATA'!$AB$1:$AB$26</definedName>
    <definedName name="PLAYERS_NZL">'AWARDS_DATA'!$AC$1:$AC$26</definedName>
    <definedName name="PLAYERS_ESP">'AWARDS_DATA'!$AD$1:$AD$26</definedName>
    <definedName name="PLAYERS_URU">'AWARDS_DATA'!$AE$1:$AE$26</definedName>
    <definedName name="PLAYERS_KSA">'AWARDS_DATA'!$AF$1:$AF$26</definedName>
    <definedName name="PLAYERS_CPV">'AWARDS_DATA'!$AG$1:$AG$26</definedName>
    <definedName name="PLAYERS_FRA">'AWARDS_DATA'!$AH$1:$AH$26</definedName>
    <definedName name="PLAYERS_SEN">'AWARDS_DATA'!$AI$1:$AI$26</definedName>
    <definedName name="PLAYERS_NOR">'AWARDS_DATA'!$AJ$1:$AJ$26</definedName>
    <definedName name="PLAYERS_IRQ">'AWARDS_DATA'!$AK$1:$AK$26</definedName>
    <definedName name="PLAYERS_ARG">'AWARDS_DATA'!$AL$1:$AL$26</definedName>
    <definedName name="PLAYERS_AUT">'AWARDS_DATA'!$AM$1:$AM$26</definedName>
    <definedName name="PLAYERS_ALG">'AWARDS_DATA'!$AN$1:$AN$26</definedName>
    <definedName name="PLAYERS_JOR">'AWARDS_DATA'!$AO$1:$AO$26</definedName>
    <definedName name="PLAYERS_POR">'AWARDS_DATA'!$AP$1:$AP$26</definedName>
    <definedName name="PLAYERS_COL">'AWARDS_DATA'!$AQ$1:$AQ$26</definedName>
    <definedName name="PLAYERS_UZB">'AWARDS_DATA'!$AR$1:$AR$26</definedName>
    <definedName name="PLAYERS_COD">'AWARDS_DATA'!$AS$1:$AS$26</definedName>
    <definedName name="PLAYERS_ENG">'AWARDS_DATA'!$AT$1:$AT$26</definedName>
    <definedName name="PLAYERS_CRO">'AWARDS_DATA'!$AU$1:$AU$26</definedName>
    <definedName name="PLAYERS_GHA">'AWARDS_DATA'!$AV$1:$AV$26</definedName>
    <definedName name="PLAYERS_PAN">'AWARDS_DATA'!$AW$1:$AW$26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t>Estadio Azteca, Ciudad de México</t>
        </r>
      </text>
    </comment>
    <comment ref="O4" authorId="0">
      <text>
        <r>
          <t>Toronto Stadium, Toronto</t>
        </r>
      </text>
    </comment>
    <comment ref="Z4" authorId="0">
      <text>
        <r>
          <t>Gillette Stadium, Foxborough</t>
        </r>
      </text>
    </comment>
    <comment ref="D5" authorId="0">
      <text>
        <r>
          <t>Estadio Guadalajara, Zapopan</t>
        </r>
      </text>
    </comment>
    <comment ref="O5" authorId="0">
      <text>
        <r>
          <t>San Francisco Bay Area Stadium, Santa Clara</t>
        </r>
      </text>
    </comment>
    <comment ref="Z5" authorId="0">
      <text>
        <r>
          <t>New York New Jersey Stadium, East Rutherford</t>
        </r>
      </text>
    </comment>
    <comment ref="D6" authorId="0">
      <text>
        <r>
          <t>Mercedes-Benz Stadium, Atlanta</t>
        </r>
      </text>
    </comment>
    <comment ref="O6" authorId="0">
      <text>
        <r>
          <t>SoFi Stadium, Inglewood</t>
        </r>
      </text>
    </comment>
    <comment ref="Z6" authorId="0">
      <text>
        <r>
          <t>Philadelphia Stadium, Filadelfia</t>
        </r>
      </text>
    </comment>
    <comment ref="D7" authorId="0">
      <text>
        <r>
          <t>Estadio Guadalajara, Zapopan</t>
        </r>
      </text>
    </comment>
    <comment ref="O7" authorId="0">
      <text>
        <r>
          <t>BC Place Vancouver, Vancouver</t>
        </r>
      </text>
    </comment>
    <comment ref="Z7" authorId="0">
      <text>
        <r>
          <t>Gillette Stadium, Foxborough</t>
        </r>
      </text>
    </comment>
    <comment ref="D8" authorId="0">
      <text>
        <r>
          <t>Estadio Azteca, Ciudad de México</t>
        </r>
      </text>
    </comment>
    <comment ref="O8" authorId="0">
      <text>
        <r>
          <t>BC Place Vancouver, Vancouver</t>
        </r>
      </text>
    </comment>
    <comment ref="Z8" authorId="0">
      <text>
        <r>
          <t>Miami Stadium, Miami Gardens</t>
        </r>
      </text>
    </comment>
    <comment ref="D9" authorId="0">
      <text>
        <r>
          <t>Estadio Monterrey, Guadalupe</t>
        </r>
      </text>
    </comment>
    <comment ref="O9" authorId="0">
      <text>
        <r>
          <t>Seattle Stadium, Seattle</t>
        </r>
      </text>
    </comment>
    <comment ref="Z9" authorId="0">
      <text>
        <r>
          <t>Mercedes-Benz Stadium, Atlanta</t>
        </r>
      </text>
    </comment>
    <comment ref="D21" authorId="0">
      <text>
        <r>
          <t>SoFi Stadium, Inglewood</t>
        </r>
      </text>
    </comment>
    <comment ref="O21" authorId="0">
      <text>
        <r>
          <t>Philadelphia Stadium, Filadelfia</t>
        </r>
      </text>
    </comment>
    <comment ref="Z21" authorId="0">
      <text>
        <r>
          <t>AT&amp;T Stadium, Arlington</t>
        </r>
      </text>
    </comment>
    <comment ref="D22" authorId="0">
      <text>
        <r>
          <t>BC Place Vancouver, Vancouver</t>
        </r>
      </text>
    </comment>
    <comment ref="O22" authorId="0">
      <text>
        <r>
          <t>NRG Stadium, Houston</t>
        </r>
      </text>
    </comment>
    <comment ref="Z22" authorId="0">
      <text>
        <r>
          <t>Estadio Monterrey, Guadalupe</t>
        </r>
      </text>
    </comment>
    <comment ref="D23" authorId="0">
      <text>
        <r>
          <t>San Francisco Bay Area Stadium, Santa Clara</t>
        </r>
      </text>
    </comment>
    <comment ref="O23" authorId="0">
      <text>
        <r>
          <t>Toronto Stadium, Toronto</t>
        </r>
      </text>
    </comment>
    <comment ref="Z23" authorId="0">
      <text>
        <r>
          <t>NRG Stadium, Houston</t>
        </r>
      </text>
    </comment>
    <comment ref="D24" authorId="0">
      <text>
        <r>
          <t>Seattle Stadium, Seattle</t>
        </r>
      </text>
    </comment>
    <comment ref="O24" authorId="0">
      <text>
        <r>
          <t>Kansas City Stadium, Kansas City</t>
        </r>
      </text>
    </comment>
    <comment ref="Z24" authorId="0">
      <text>
        <r>
          <t>Estadio Monterrey, Guadalupe</t>
        </r>
      </text>
    </comment>
    <comment ref="D25" authorId="0">
      <text>
        <r>
          <t>SoFi Stadium, Inglewood</t>
        </r>
      </text>
    </comment>
    <comment ref="O25" authorId="0">
      <text>
        <r>
          <t>Philadelphia Stadium, Filadelfia</t>
        </r>
      </text>
    </comment>
    <comment ref="Z25" authorId="0">
      <text>
        <r>
          <t>AT&amp;T Stadium, Arlington</t>
        </r>
      </text>
    </comment>
    <comment ref="D26" authorId="0">
      <text>
        <r>
          <t>San Francisco Bay Area Stadium, Santa Clara</t>
        </r>
      </text>
    </comment>
    <comment ref="O26" authorId="0">
      <text>
        <r>
          <t>New York New Jersey Stadium, East Rutherford</t>
        </r>
      </text>
    </comment>
    <comment ref="Z26" authorId="0">
      <text>
        <r>
          <t>Kansas City Stadium, Kansas City</t>
        </r>
      </text>
    </comment>
    <comment ref="D38" authorId="0">
      <text>
        <r>
          <t>SoFi Stadium, Inglewood</t>
        </r>
      </text>
    </comment>
    <comment ref="O38" authorId="0">
      <text>
        <r>
          <t>Miami Stadium, Miami Gardens</t>
        </r>
      </text>
    </comment>
    <comment ref="Z38" authorId="0">
      <text>
        <r>
          <t>New York New Jersey Stadium, East Rutherford</t>
        </r>
      </text>
    </comment>
    <comment ref="D39" authorId="0">
      <text>
        <r>
          <t>Seattle Stadium, Seattle</t>
        </r>
      </text>
    </comment>
    <comment ref="O39" authorId="0">
      <text>
        <r>
          <t>Mercedes-Benz Stadium, Atlanta</t>
        </r>
      </text>
    </comment>
    <comment ref="Z39" authorId="0">
      <text>
        <r>
          <t>Gillette Stadium, Foxborough</t>
        </r>
      </text>
    </comment>
    <comment ref="D40" authorId="0">
      <text>
        <r>
          <t>SoFi Stadium, Inglewood</t>
        </r>
      </text>
    </comment>
    <comment ref="O40" authorId="0">
      <text>
        <r>
          <t>Miami Stadium, Miami Gardens</t>
        </r>
      </text>
    </comment>
    <comment ref="Z40" authorId="0">
      <text>
        <r>
          <t>New York New Jersey Stadium, East Rutherford</t>
        </r>
      </text>
    </comment>
    <comment ref="D41" authorId="0">
      <text>
        <r>
          <t>BC Place Vancouver, Vancouver</t>
        </r>
      </text>
    </comment>
    <comment ref="O41" authorId="0">
      <text>
        <r>
          <t>Mercedes-Benz Stadium, Atlanta</t>
        </r>
      </text>
    </comment>
    <comment ref="Z41" authorId="0">
      <text>
        <r>
          <t>Philadelphia Stadium, Filadelfia</t>
        </r>
      </text>
    </comment>
    <comment ref="D42" authorId="0">
      <text>
        <r>
          <t>Seattle Stadium, Seattle</t>
        </r>
      </text>
    </comment>
    <comment ref="O42" authorId="0">
      <text>
        <r>
          <t>NRG Stadium, Houston</t>
        </r>
      </text>
    </comment>
    <comment ref="Z42" authorId="0">
      <text>
        <r>
          <t>Gillette Stadium, Foxborough</t>
        </r>
      </text>
    </comment>
    <comment ref="D43" authorId="0">
      <text>
        <r>
          <t>BC Place Vancouver, Vancouver</t>
        </r>
      </text>
    </comment>
    <comment ref="O43" authorId="0">
      <text>
        <r>
          <t>Estadio Guadalajara, Zapopan</t>
        </r>
      </text>
    </comment>
    <comment ref="Z43" authorId="0">
      <text>
        <r>
          <t>Toronto Stadium, Toronto</t>
        </r>
      </text>
    </comment>
    <comment ref="D55" authorId="0">
      <text>
        <r>
          <t>Kansas City Stadium, Kansas City</t>
        </r>
      </text>
    </comment>
    <comment ref="O55" authorId="0">
      <text>
        <r>
          <t>NRG Stadium, Houston</t>
        </r>
      </text>
    </comment>
    <comment ref="Z55" authorId="0">
      <text>
        <r>
          <t>Toronto Stadium, Toronto</t>
        </r>
      </text>
    </comment>
    <comment ref="D56" authorId="0">
      <text>
        <r>
          <t>San Francisco Bay Area Stadium, Santa Clara</t>
        </r>
      </text>
    </comment>
    <comment ref="O56" authorId="0">
      <text>
        <r>
          <t>Estadio Azteca, Ciudad de México</t>
        </r>
      </text>
    </comment>
    <comment ref="Z56" authorId="0">
      <text>
        <r>
          <t>AT&amp;T Stadium, Arlington</t>
        </r>
      </text>
    </comment>
    <comment ref="D57" authorId="0">
      <text>
        <r>
          <t>AT&amp;T Stadium, Arlington</t>
        </r>
      </text>
    </comment>
    <comment ref="O57" authorId="0">
      <text>
        <r>
          <t>NRG Stadium, Houston</t>
        </r>
      </text>
    </comment>
    <comment ref="Z57" authorId="0">
      <text>
        <r>
          <t>Gillette Stadium, Foxborough</t>
        </r>
      </text>
    </comment>
    <comment ref="D58" authorId="0">
      <text>
        <r>
          <t>San Francisco Bay Area Stadium, Santa Clara</t>
        </r>
      </text>
    </comment>
    <comment ref="O58" authorId="0">
      <text>
        <r>
          <t>Estadio Guadalajara, Zapopan</t>
        </r>
      </text>
    </comment>
    <comment ref="Z58" authorId="0">
      <text>
        <r>
          <t>Toronto Stadium, Toronto</t>
        </r>
      </text>
    </comment>
    <comment ref="D59" authorId="0">
      <text>
        <r>
          <t>Kansas City Stadium, Kansas City</t>
        </r>
      </text>
    </comment>
    <comment ref="O59" authorId="0">
      <text>
        <r>
          <t>Miami Stadium, Miami Gardens</t>
        </r>
      </text>
    </comment>
    <comment ref="Z59" authorId="0">
      <text>
        <r>
          <t>New York New Jersey Stadium, East Rutherford</t>
        </r>
      </text>
    </comment>
    <comment ref="D60" authorId="0">
      <text>
        <r>
          <t>AT&amp;T Stadium, Arlington</t>
        </r>
      </text>
    </comment>
    <comment ref="O60" authorId="0">
      <text>
        <r>
          <t>Mercedes-Benz Stadium, Atlanta</t>
        </r>
      </text>
    </comment>
    <comment ref="Z60" authorId="0">
      <text>
        <r>
          <t>Philadelphia Stadium, Filadelfia</t>
        </r>
      </text>
    </comment>
  </commentList>
</comments>
</file>

<file path=xl/sharedStrings.xml><?xml version="1.0" encoding="utf-8"?>
<sst xmlns="http://schemas.openxmlformats.org/spreadsheetml/2006/main" count="2704" uniqueCount="1829">
  <si>
    <t>GRUPO A</t>
  </si>
  <si>
    <t>GRUPO B</t>
  </si>
  <si>
    <t>GRUPO C</t>
  </si>
  <si>
    <t>ID</t>
  </si>
  <si>
    <t>Jornada</t>
  </si>
  <si>
    <t>Fecha</t>
  </si>
  <si>
    <t>Local</t>
  </si>
  <si>
    <t/>
  </si>
  <si>
    <t>GF</t>
  </si>
  <si>
    <t>-</t>
  </si>
  <si>
    <t>GC</t>
  </si>
  <si>
    <t>Visitante</t>
  </si>
  <si>
    <t>M1</t>
  </si>
  <si>
    <t>11/06</t>
  </si>
  <si>
    <t>México</t>
  </si>
  <si>
    <t>–</t>
  </si>
  <si>
    <t>Sudáfrica</t>
  </si>
  <si>
    <t>M3</t>
  </si>
  <si>
    <t>12/06</t>
  </si>
  <si>
    <t>Canadá</t>
  </si>
  <si>
    <t>Bosnia y Herz.</t>
  </si>
  <si>
    <t>M5</t>
  </si>
  <si>
    <t>14/06</t>
  </si>
  <si>
    <t>Haití</t>
  </si>
  <si>
    <t>Escocia</t>
  </si>
  <si>
    <t>M2</t>
  </si>
  <si>
    <t>Corea del Sur</t>
  </si>
  <si>
    <t>República Checa</t>
  </si>
  <si>
    <t>M8</t>
  </si>
  <si>
    <t>13/06</t>
  </si>
  <si>
    <t>Catar</t>
  </si>
  <si>
    <t>Suiza</t>
  </si>
  <si>
    <t>M7</t>
  </si>
  <si>
    <t>Brasil</t>
  </si>
  <si>
    <t>Marruecos</t>
  </si>
  <si>
    <t>M25</t>
  </si>
  <si>
    <t>18/06</t>
  </si>
  <si>
    <t>M26</t>
  </si>
  <si>
    <t>M29</t>
  </si>
  <si>
    <t>20/06</t>
  </si>
  <si>
    <t>M28</t>
  </si>
  <si>
    <t>19/06</t>
  </si>
  <si>
    <t>M27</t>
  </si>
  <si>
    <t>M30</t>
  </si>
  <si>
    <t>M53</t>
  </si>
  <si>
    <t>25/06</t>
  </si>
  <si>
    <t>M51</t>
  </si>
  <si>
    <t>24/06</t>
  </si>
  <si>
    <t>M49</t>
  </si>
  <si>
    <t>M54</t>
  </si>
  <si>
    <t>M52</t>
  </si>
  <si>
    <t>M50</t>
  </si>
  <si>
    <t>CLASIFICACIÓN</t>
  </si>
  <si>
    <t>Pos</t>
  </si>
  <si>
    <t>Equipo</t>
  </si>
  <si>
    <t>PJ</t>
  </si>
  <si>
    <t>G</t>
  </si>
  <si>
    <t>E</t>
  </si>
  <si>
    <t>P</t>
  </si>
  <si>
    <t>PTS</t>
  </si>
  <si>
    <t>GRUPO D</t>
  </si>
  <si>
    <t>GRUPO E</t>
  </si>
  <si>
    <t>GRUPO F</t>
  </si>
  <si>
    <t>M4</t>
  </si>
  <si>
    <t>Estados Unidos</t>
  </si>
  <si>
    <t>Paraguay</t>
  </si>
  <si>
    <t>M9</t>
  </si>
  <si>
    <t>15/06</t>
  </si>
  <si>
    <t>Costa de Marfil</t>
  </si>
  <si>
    <t>Ecuador</t>
  </si>
  <si>
    <t>M11</t>
  </si>
  <si>
    <t>Países Bajos</t>
  </si>
  <si>
    <t>Japón</t>
  </si>
  <si>
    <t>M6</t>
  </si>
  <si>
    <t>Australia</t>
  </si>
  <si>
    <t>Turquía</t>
  </si>
  <si>
    <t>M10</t>
  </si>
  <si>
    <t>Alemania</t>
  </si>
  <si>
    <t>Curazao</t>
  </si>
  <si>
    <t>M12</t>
  </si>
  <si>
    <t>Suecia</t>
  </si>
  <si>
    <t>Túnez</t>
  </si>
  <si>
    <t>M31</t>
  </si>
  <si>
    <t>M33</t>
  </si>
  <si>
    <t>M35</t>
  </si>
  <si>
    <t>M32</t>
  </si>
  <si>
    <t>M34</t>
  </si>
  <si>
    <t>21/06</t>
  </si>
  <si>
    <t>M36</t>
  </si>
  <si>
    <t>M59</t>
  </si>
  <si>
    <t>26/06</t>
  </si>
  <si>
    <t>M55</t>
  </si>
  <si>
    <t>M57</t>
  </si>
  <si>
    <t>M60</t>
  </si>
  <si>
    <t>M56</t>
  </si>
  <si>
    <t>M58</t>
  </si>
  <si>
    <t>GRUPO G</t>
  </si>
  <si>
    <t>GRUPO H</t>
  </si>
  <si>
    <t>GRUPO I</t>
  </si>
  <si>
    <t>M15</t>
  </si>
  <si>
    <t>16/06</t>
  </si>
  <si>
    <t>Irán</t>
  </si>
  <si>
    <t>Nueva Zelanda</t>
  </si>
  <si>
    <t>M13</t>
  </si>
  <si>
    <t>Arabia Saudita</t>
  </si>
  <si>
    <t>Uruguay</t>
  </si>
  <si>
    <t>M17</t>
  </si>
  <si>
    <t>Francia</t>
  </si>
  <si>
    <t>Senegal</t>
  </si>
  <si>
    <t>M16</t>
  </si>
  <si>
    <t>Bélgica</t>
  </si>
  <si>
    <t>Egipto</t>
  </si>
  <si>
    <t>M14</t>
  </si>
  <si>
    <t>España</t>
  </si>
  <si>
    <t>Cabo Verde</t>
  </si>
  <si>
    <t>M18</t>
  </si>
  <si>
    <t>17/06</t>
  </si>
  <si>
    <t>Irak</t>
  </si>
  <si>
    <t>Noruega</t>
  </si>
  <si>
    <t>M39</t>
  </si>
  <si>
    <t>M37</t>
  </si>
  <si>
    <t>22/06</t>
  </si>
  <si>
    <t>M41</t>
  </si>
  <si>
    <t>23/06</t>
  </si>
  <si>
    <t>M40</t>
  </si>
  <si>
    <t>M38</t>
  </si>
  <si>
    <t>M42</t>
  </si>
  <si>
    <t>M63</t>
  </si>
  <si>
    <t>27/06</t>
  </si>
  <si>
    <t>M65</t>
  </si>
  <si>
    <t>M61</t>
  </si>
  <si>
    <t>M64</t>
  </si>
  <si>
    <t>M66</t>
  </si>
  <si>
    <t>M62</t>
  </si>
  <si>
    <t>GRUPO J</t>
  </si>
  <si>
    <t>GRUPO K</t>
  </si>
  <si>
    <t>GRUPO L</t>
  </si>
  <si>
    <t>M19</t>
  </si>
  <si>
    <t>Argentina</t>
  </si>
  <si>
    <t>Argelia</t>
  </si>
  <si>
    <t>M23</t>
  </si>
  <si>
    <t>Portugal</t>
  </si>
  <si>
    <t>RD Congo</t>
  </si>
  <si>
    <t>M21</t>
  </si>
  <si>
    <t>Ghana</t>
  </si>
  <si>
    <t>Panamá</t>
  </si>
  <si>
    <t>M20</t>
  </si>
  <si>
    <t>Austria</t>
  </si>
  <si>
    <t>Jordania</t>
  </si>
  <si>
    <t>M24</t>
  </si>
  <si>
    <t>Uzbekistán</t>
  </si>
  <si>
    <t>Colombia</t>
  </si>
  <si>
    <t>M22</t>
  </si>
  <si>
    <t>Inglaterra</t>
  </si>
  <si>
    <t>Croacia</t>
  </si>
  <si>
    <t>M43</t>
  </si>
  <si>
    <t>M47</t>
  </si>
  <si>
    <t>M45</t>
  </si>
  <si>
    <t>M44</t>
  </si>
  <si>
    <t>M48</t>
  </si>
  <si>
    <t>M46</t>
  </si>
  <si>
    <t>M69</t>
  </si>
  <si>
    <t>28/06</t>
  </si>
  <si>
    <t>M71</t>
  </si>
  <si>
    <t>M67</t>
  </si>
  <si>
    <t>M70</t>
  </si>
  <si>
    <t>M72</t>
  </si>
  <si>
    <t>M68</t>
  </si>
  <si>
    <t>A</t>
  </si>
  <si>
    <t>DG</t>
  </si>
  <si>
    <t>KEY</t>
  </si>
  <si>
    <t>B</t>
  </si>
  <si>
    <t>C</t>
  </si>
  <si>
    <t>D</t>
  </si>
  <si>
    <t>F</t>
  </si>
  <si>
    <t>H</t>
  </si>
  <si>
    <t>I</t>
  </si>
  <si>
    <t>J</t>
  </si>
  <si>
    <t>K</t>
  </si>
  <si>
    <t>L</t>
  </si>
  <si>
    <t>EL CAMINO A LA GLORIA</t>
  </si>
  <si>
    <t>1/16 AVOS</t>
  </si>
  <si>
    <t>Sede</t>
  </si>
  <si>
    <t>Penaltis</t>
  </si>
  <si>
    <t>R32-01</t>
  </si>
  <si>
    <t>29/06</t>
  </si>
  <si>
    <t>Gillette Stadium</t>
  </si>
  <si>
    <t>R32-02</t>
  </si>
  <si>
    <t>30/06</t>
  </si>
  <si>
    <t>MetLife Stadium</t>
  </si>
  <si>
    <t>R32-03</t>
  </si>
  <si>
    <t>SoFi Stadium</t>
  </si>
  <si>
    <t>R32-04</t>
  </si>
  <si>
    <t>Estadio BBVA</t>
  </si>
  <si>
    <t>R32-05</t>
  </si>
  <si>
    <t>02/07</t>
  </si>
  <si>
    <t>Toronto Stadium</t>
  </si>
  <si>
    <t>R32-06</t>
  </si>
  <si>
    <t>R32-07</t>
  </si>
  <si>
    <t>01/07</t>
  </si>
  <si>
    <t>Levi's Stadium</t>
  </si>
  <si>
    <t>R32-08</t>
  </si>
  <si>
    <t>Lumen Field</t>
  </si>
  <si>
    <t>R32-09</t>
  </si>
  <si>
    <t>NRG Stadium</t>
  </si>
  <si>
    <t>R32-10</t>
  </si>
  <si>
    <t>AT&amp;T Stadium</t>
  </si>
  <si>
    <t>R32-11</t>
  </si>
  <si>
    <t>Estadio Azteca</t>
  </si>
  <si>
    <t>R32-12</t>
  </si>
  <si>
    <t>Mercedes-Benz Stadium</t>
  </si>
  <si>
    <t>R32-13</t>
  </si>
  <si>
    <t>03/07</t>
  </si>
  <si>
    <t>Hard Rock Stadium</t>
  </si>
  <si>
    <t>R32-14</t>
  </si>
  <si>
    <t>R32-15</t>
  </si>
  <si>
    <t>BC Place Vancouver</t>
  </si>
  <si>
    <t>R32-16</t>
  </si>
  <si>
    <t>Arrowhead Stadium</t>
  </si>
  <si>
    <t>OCTAVOS</t>
  </si>
  <si>
    <t>R16-01</t>
  </si>
  <si>
    <t>04/07</t>
  </si>
  <si>
    <t>Lincoln Financial Field</t>
  </si>
  <si>
    <t>R16-02</t>
  </si>
  <si>
    <t>R16-03</t>
  </si>
  <si>
    <t>06/07</t>
  </si>
  <si>
    <t>R16-04</t>
  </si>
  <si>
    <t>R16-05</t>
  </si>
  <si>
    <t>05/07</t>
  </si>
  <si>
    <t>R16-06</t>
  </si>
  <si>
    <t>R16-07</t>
  </si>
  <si>
    <t>07/07</t>
  </si>
  <si>
    <t>R16-08</t>
  </si>
  <si>
    <t>CUARTOS</t>
  </si>
  <si>
    <t>QF-01</t>
  </si>
  <si>
    <t>09/07</t>
  </si>
  <si>
    <t>QF-02</t>
  </si>
  <si>
    <t>10/07</t>
  </si>
  <si>
    <t>QF-03</t>
  </si>
  <si>
    <t>11/07</t>
  </si>
  <si>
    <t>QF-04</t>
  </si>
  <si>
    <t>SEMIS</t>
  </si>
  <si>
    <t>SF-01</t>
  </si>
  <si>
    <t>14/07</t>
  </si>
  <si>
    <t>SF-02</t>
  </si>
  <si>
    <t>15/07</t>
  </si>
  <si>
    <t>TERCER PUESTO</t>
  </si>
  <si>
    <t>TP-01</t>
  </si>
  <si>
    <t>18/07</t>
  </si>
  <si>
    <t>FINAL</t>
  </si>
  <si>
    <t>FIN-01</t>
  </si>
  <si>
    <t>19/07</t>
  </si>
  <si>
    <t>MEX</t>
  </si>
  <si>
    <t>Raúl Rangel</t>
  </si>
  <si>
    <t>Ronwen Williams</t>
  </si>
  <si>
    <t>Kim Seung-gyu</t>
  </si>
  <si>
    <t>Matej Kovar</t>
  </si>
  <si>
    <t>Dayne St. Clair</t>
  </si>
  <si>
    <t>Gregor Kobel</t>
  </si>
  <si>
    <t>Mahmoud Abunada</t>
  </si>
  <si>
    <t>Nikola Vasilj</t>
  </si>
  <si>
    <t>Alisson</t>
  </si>
  <si>
    <t>Yassine Bounou</t>
  </si>
  <si>
    <t>Angus Gunn</t>
  </si>
  <si>
    <t>Johny Placide</t>
  </si>
  <si>
    <t>Matt Turner</t>
  </si>
  <si>
    <t>Roberto Junior Fernández</t>
  </si>
  <si>
    <t>Mathew Ryan</t>
  </si>
  <si>
    <t>Mert Gunok</t>
  </si>
  <si>
    <t>Manuel Neuer</t>
  </si>
  <si>
    <t>Eloy Room</t>
  </si>
  <si>
    <t>Yahia Fofana</t>
  </si>
  <si>
    <t>Hernán Galíndez</t>
  </si>
  <si>
    <t>Bart Verbruggen</t>
  </si>
  <si>
    <t>Zion Suzuki</t>
  </si>
  <si>
    <t>Mouhib Chamakh</t>
  </si>
  <si>
    <t>Jacob Widell Zetterström</t>
  </si>
  <si>
    <t>Thibaut Courtois</t>
  </si>
  <si>
    <t>Mohamed El-Shenawy</t>
  </si>
  <si>
    <t>Alireza Beiranvand</t>
  </si>
  <si>
    <t>Max Crocombe</t>
  </si>
  <si>
    <t>David Raya</t>
  </si>
  <si>
    <t>Sergio Rochet</t>
  </si>
  <si>
    <t>Nawaf Al-Aqidi</t>
  </si>
  <si>
    <t>Josimar ‘Vozinha’ Dias</t>
  </si>
  <si>
    <t>Brice Samba</t>
  </si>
  <si>
    <t>Yehvann Diouf</t>
  </si>
  <si>
    <t>Ørjan Håskjold Nyland</t>
  </si>
  <si>
    <t>Fahad Talib</t>
  </si>
  <si>
    <t>Juan Musso</t>
  </si>
  <si>
    <t>Alexander Schlager</t>
  </si>
  <si>
    <t>Melvin Mastil</t>
  </si>
  <si>
    <t>Yazeed Abulaila</t>
  </si>
  <si>
    <t>Diogo Costa</t>
  </si>
  <si>
    <t>David Ospina</t>
  </si>
  <si>
    <t>Utkir Yusupov</t>
  </si>
  <si>
    <t>Lionel Mpasi</t>
  </si>
  <si>
    <t>Jordan Pickford</t>
  </si>
  <si>
    <t>Dominik Livakovic</t>
  </si>
  <si>
    <t>Lawrence Ati-Zigi</t>
  </si>
  <si>
    <t>Luis Mejía</t>
  </si>
  <si>
    <t>RSA</t>
  </si>
  <si>
    <t>Carlos Acevedo</t>
  </si>
  <si>
    <t>Sipho Chaine</t>
  </si>
  <si>
    <t>Song Bum-keun</t>
  </si>
  <si>
    <t>Jindrich Stanek</t>
  </si>
  <si>
    <t>Maxime Crépeau</t>
  </si>
  <si>
    <t>Yvon Mvogo</t>
  </si>
  <si>
    <t>Salah Zakaria</t>
  </si>
  <si>
    <t>Mladen Jurkas</t>
  </si>
  <si>
    <t>Weverton</t>
  </si>
  <si>
    <t>Munir El Kajoui</t>
  </si>
  <si>
    <t>Liam Kelly</t>
  </si>
  <si>
    <t>Alexandre Pierre</t>
  </si>
  <si>
    <t>Matt Freese</t>
  </si>
  <si>
    <t>Orlando Gill</t>
  </si>
  <si>
    <t>Paul Izzo</t>
  </si>
  <si>
    <t>Altay Bayindir</t>
  </si>
  <si>
    <t>Oliver Baumann</t>
  </si>
  <si>
    <t>Tyrick Bodak</t>
  </si>
  <si>
    <t>Mohamed Koné</t>
  </si>
  <si>
    <t>Moisés Ramírez</t>
  </si>
  <si>
    <t>Robin Roefs</t>
  </si>
  <si>
    <t>Keisuke Osako</t>
  </si>
  <si>
    <t>Aymen Dahmen</t>
  </si>
  <si>
    <t>Viktor Johansson</t>
  </si>
  <si>
    <t>Senne Lammens</t>
  </si>
  <si>
    <t>El Mahdy Soliman</t>
  </si>
  <si>
    <t>Payam Niazmand</t>
  </si>
  <si>
    <t>Alex Paulsen</t>
  </si>
  <si>
    <t>Joan García</t>
  </si>
  <si>
    <t>Santiago Mele</t>
  </si>
  <si>
    <t>Mohammed Al-Owais</t>
  </si>
  <si>
    <t>Marcio da Rosa</t>
  </si>
  <si>
    <t>Mike Maignan</t>
  </si>
  <si>
    <t>Édouard Mendy</t>
  </si>
  <si>
    <t>Sander Tangvik</t>
  </si>
  <si>
    <t>Jalal Hassan</t>
  </si>
  <si>
    <t>Gerónimo Rulli</t>
  </si>
  <si>
    <t>Florian Wiegele</t>
  </si>
  <si>
    <t>Oussama Benbot</t>
  </si>
  <si>
    <t>Nour Bani Attiah</t>
  </si>
  <si>
    <t>José Sá</t>
  </si>
  <si>
    <t>Camilo Vargas</t>
  </si>
  <si>
    <t>Abduvokhid Nematov</t>
  </si>
  <si>
    <t>Timothy Fayulu</t>
  </si>
  <si>
    <t>Dean Henderson</t>
  </si>
  <si>
    <t>Ivor Pandur</t>
  </si>
  <si>
    <t>Joseph Anang</t>
  </si>
  <si>
    <t>César Samudio</t>
  </si>
  <si>
    <t>KOR</t>
  </si>
  <si>
    <t>Guillermo Ochoa</t>
  </si>
  <si>
    <t>Ricardo Goss</t>
  </si>
  <si>
    <t>Jo Hyeon-woo</t>
  </si>
  <si>
    <t>Lukas Hornicek</t>
  </si>
  <si>
    <t>Owen Goodman</t>
  </si>
  <si>
    <t>Marvin Keller</t>
  </si>
  <si>
    <t>Meshaal Barsham</t>
  </si>
  <si>
    <t>Martin Zlomislic</t>
  </si>
  <si>
    <t>Ederson</t>
  </si>
  <si>
    <t>Ahmed Reda Tagnaouti</t>
  </si>
  <si>
    <t>Craig Gordon</t>
  </si>
  <si>
    <t>Josué Duverger</t>
  </si>
  <si>
    <t>Chris Brady</t>
  </si>
  <si>
    <t>Gastón Oliveira</t>
  </si>
  <si>
    <t>Patrick Beach</t>
  </si>
  <si>
    <t>Ugurcan Cakir</t>
  </si>
  <si>
    <t>Alexander Nübel</t>
  </si>
  <si>
    <t>Trevor Doornbusch</t>
  </si>
  <si>
    <t>Alban Lafont</t>
  </si>
  <si>
    <t>Gonzalo Valle</t>
  </si>
  <si>
    <t>Mark Flekken</t>
  </si>
  <si>
    <t>Tomoki Hayakawa</t>
  </si>
  <si>
    <t>Sabri Ben Hessen</t>
  </si>
  <si>
    <t>Kristoffer Nordfeldt</t>
  </si>
  <si>
    <t>Mike Penders</t>
  </si>
  <si>
    <t>Mostafa ‘Oufa’ Shobeir</t>
  </si>
  <si>
    <t>Seyed Hossein Hosseini</t>
  </si>
  <si>
    <t>Michael Woud</t>
  </si>
  <si>
    <t>Unai Simón</t>
  </si>
  <si>
    <t>Fernando Muslera</t>
  </si>
  <si>
    <t>Ahmed Al-Kassar</t>
  </si>
  <si>
    <t>Carlos ‘CJ’ Dos Santos</t>
  </si>
  <si>
    <t>Robin Risser</t>
  </si>
  <si>
    <t>Mory Diaw</t>
  </si>
  <si>
    <t>Egil Selvik</t>
  </si>
  <si>
    <t>Ahmed Basil</t>
  </si>
  <si>
    <t>Emiliano Martínez</t>
  </si>
  <si>
    <t>Patrick Pentz</t>
  </si>
  <si>
    <t>Luca Zidane</t>
  </si>
  <si>
    <t>Abdallah Al Fakhouri</t>
  </si>
  <si>
    <t>Rui Silva</t>
  </si>
  <si>
    <t>Álvaro Montero</t>
  </si>
  <si>
    <t>Botirali Ergashev</t>
  </si>
  <si>
    <t>Matthieu Epolo</t>
  </si>
  <si>
    <t>James Trafford</t>
  </si>
  <si>
    <t>Dominik Kotarski</t>
  </si>
  <si>
    <t>Benjamin Asare</t>
  </si>
  <si>
    <t>Orlando Mosquera</t>
  </si>
  <si>
    <t>CZE</t>
  </si>
  <si>
    <t>Jorge Sánchez</t>
  </si>
  <si>
    <t>Thabang Matuludi</t>
  </si>
  <si>
    <t>Lee Han-beom</t>
  </si>
  <si>
    <t>David Zima</t>
  </si>
  <si>
    <t>Alistair Johnston</t>
  </si>
  <si>
    <t>Miro Muheim</t>
  </si>
  <si>
    <t>Pedro Miguel</t>
  </si>
  <si>
    <t>Nihad Mujakic</t>
  </si>
  <si>
    <t>Wesley</t>
  </si>
  <si>
    <t>Achraf Hakimi</t>
  </si>
  <si>
    <t>Aaron Hickey</t>
  </si>
  <si>
    <t>Carlens Arcus</t>
  </si>
  <si>
    <t>Sergiño Dest</t>
  </si>
  <si>
    <t>Gustavo Velázquez</t>
  </si>
  <si>
    <t>Milos Degenek</t>
  </si>
  <si>
    <t>Zeki Celik</t>
  </si>
  <si>
    <t>Antonio Rüdiger</t>
  </si>
  <si>
    <t>Shurandy Sambo</t>
  </si>
  <si>
    <t>Ousmane Diomandé</t>
  </si>
  <si>
    <t>Félix Torres</t>
  </si>
  <si>
    <t>Jurriën Timber</t>
  </si>
  <si>
    <t>Yukinari Sugawara</t>
  </si>
  <si>
    <t>Ali Abdi</t>
  </si>
  <si>
    <t>Gustaf Lagerbielke</t>
  </si>
  <si>
    <t>Zeno Debast</t>
  </si>
  <si>
    <t>Mohamed Alaa</t>
  </si>
  <si>
    <t>Saleh Hardani</t>
  </si>
  <si>
    <t>Tim Payne</t>
  </si>
  <si>
    <t>Marc Pubill</t>
  </si>
  <si>
    <t>José María Giménez</t>
  </si>
  <si>
    <t>Ali Majrashi</t>
  </si>
  <si>
    <t>Ianique ‘Stopira’ Tavares</t>
  </si>
  <si>
    <t>Malo Gusto</t>
  </si>
  <si>
    <t>Mamadou Sarr</t>
  </si>
  <si>
    <t>Kristoffer Ajer</t>
  </si>
  <si>
    <t>Rebin Sulaka</t>
  </si>
  <si>
    <t>Leonardo Balerdi</t>
  </si>
  <si>
    <t>David Affengruber</t>
  </si>
  <si>
    <t>Aissa Mandi</t>
  </si>
  <si>
    <t>Mohammad Abu Hashish</t>
  </si>
  <si>
    <t>Nélson Semedo</t>
  </si>
  <si>
    <t>Daniel Muñoz</t>
  </si>
  <si>
    <t>Abdukodir Khusanov</t>
  </si>
  <si>
    <t>Aaron Wan-Bissaka</t>
  </si>
  <si>
    <t>Ezri Konsa</t>
  </si>
  <si>
    <t>Josip Stanisic</t>
  </si>
  <si>
    <t>Alidu Seidu</t>
  </si>
  <si>
    <t>César Blackman</t>
  </si>
  <si>
    <t>CAN</t>
  </si>
  <si>
    <t>César Montes</t>
  </si>
  <si>
    <t>Khulumani Ndamane</t>
  </si>
  <si>
    <t>Lee Ki-hyuk</t>
  </si>
  <si>
    <t>Tomas Holes</t>
  </si>
  <si>
    <t>Alfie Jones</t>
  </si>
  <si>
    <t>Silvan Widmer</t>
  </si>
  <si>
    <t>Lucas Mendes</t>
  </si>
  <si>
    <t>Dennis Hadzikadunic</t>
  </si>
  <si>
    <t>Gabriel Magalhães</t>
  </si>
  <si>
    <t>Noussair Mazraoui</t>
  </si>
  <si>
    <t>Andy Robertson</t>
  </si>
  <si>
    <t>Keeto Thermoncy</t>
  </si>
  <si>
    <t>Chris Richards</t>
  </si>
  <si>
    <t>Omar Alderete</t>
  </si>
  <si>
    <t>Alessandro Circati</t>
  </si>
  <si>
    <t>Merih Demiral</t>
  </si>
  <si>
    <t>Waldemar Anton</t>
  </si>
  <si>
    <t>Juriën Gaari</t>
  </si>
  <si>
    <t>Ghislain Konan</t>
  </si>
  <si>
    <t>Piero Hincapié</t>
  </si>
  <si>
    <t>Virgil van Dijk</t>
  </si>
  <si>
    <t>Shogo Taniguchi</t>
  </si>
  <si>
    <t>Montassar Talbi</t>
  </si>
  <si>
    <t>Victor Lindelöf</t>
  </si>
  <si>
    <t>Arthur Theate</t>
  </si>
  <si>
    <t>Yasser Ibrahim</t>
  </si>
  <si>
    <t>Ehsan Hajsafi</t>
  </si>
  <si>
    <t>Francis de Vries</t>
  </si>
  <si>
    <t>Álex Grimaldo</t>
  </si>
  <si>
    <t>Sebastián Cáceres</t>
  </si>
  <si>
    <t>Ali Lajami</t>
  </si>
  <si>
    <t>‘Diney’ Borges</t>
  </si>
  <si>
    <t>Lucas Digne</t>
  </si>
  <si>
    <t>Kalidou Koulibaly</t>
  </si>
  <si>
    <t>Leo Østigård</t>
  </si>
  <si>
    <t>Hussein Ali</t>
  </si>
  <si>
    <t>Nicolás Tagliafico</t>
  </si>
  <si>
    <t>Kevin Danso</t>
  </si>
  <si>
    <t>Achraf Abada</t>
  </si>
  <si>
    <t>Abdallah Nasib</t>
  </si>
  <si>
    <t>Rúben Dias</t>
  </si>
  <si>
    <t>Jhon Lucumí</t>
  </si>
  <si>
    <t>Khojiakbar Alijonov</t>
  </si>
  <si>
    <t>Steve Kapuadi</t>
  </si>
  <si>
    <t>Nico O’Reilly</t>
  </si>
  <si>
    <t>Marin Pongracic</t>
  </si>
  <si>
    <t>Jonas Adjetey</t>
  </si>
  <si>
    <t>José Córdoba</t>
  </si>
  <si>
    <t>SUI</t>
  </si>
  <si>
    <t>Johan Vásquez</t>
  </si>
  <si>
    <t>Mbekezeli Mbokazi</t>
  </si>
  <si>
    <t>Kim Min-jae</t>
  </si>
  <si>
    <t>Robin Hranac</t>
  </si>
  <si>
    <t>Luc De Fougerolles</t>
  </si>
  <si>
    <t>Nico Elvedi</t>
  </si>
  <si>
    <t>Issa Laye</t>
  </si>
  <si>
    <t>Tarik Muharemovic</t>
  </si>
  <si>
    <t>Marquinhos</t>
  </si>
  <si>
    <t>Nayef Aguerd</t>
  </si>
  <si>
    <t>Grant Hanley</t>
  </si>
  <si>
    <t>Ricardo Adé</t>
  </si>
  <si>
    <t>Antonee Robinson</t>
  </si>
  <si>
    <t>Juan José Cáceres</t>
  </si>
  <si>
    <t>Jacob Italiano</t>
  </si>
  <si>
    <t>Caglar Soyuncu</t>
  </si>
  <si>
    <t>Jonathan Tah</t>
  </si>
  <si>
    <t>Roshon van Eijma</t>
  </si>
  <si>
    <t>Wilfried Singo</t>
  </si>
  <si>
    <t>Joel Ordóñez</t>
  </si>
  <si>
    <t>Nathan Aké</t>
  </si>
  <si>
    <t>Ko Itakura</t>
  </si>
  <si>
    <t>Omar Rekik</t>
  </si>
  <si>
    <t>Isak Hien</t>
  </si>
  <si>
    <t>Brandon Mechele</t>
  </si>
  <si>
    <t>Mohamed Hany</t>
  </si>
  <si>
    <t>Shoja Khalilzadeh</t>
  </si>
  <si>
    <t>Tyler Bindon</t>
  </si>
  <si>
    <t>Eric García</t>
  </si>
  <si>
    <t>Ronald Araújo</t>
  </si>
  <si>
    <t>Abdulelah Al-Amri</t>
  </si>
  <si>
    <t>Roberto ‘Pico’ Lopes</t>
  </si>
  <si>
    <t>Dayot Upamecano</t>
  </si>
  <si>
    <t>Abdoulaye Seck</t>
  </si>
  <si>
    <t>David Møller Wolfe</t>
  </si>
  <si>
    <t>Zaid Tahseen</t>
  </si>
  <si>
    <t>Gonzalo Montiel</t>
  </si>
  <si>
    <t>Stefan Posch</t>
  </si>
  <si>
    <t>Mohamed Tougai</t>
  </si>
  <si>
    <t>Husam Abu Dahab</t>
  </si>
  <si>
    <t>Tomás Araújo</t>
  </si>
  <si>
    <t>Santiago Arias</t>
  </si>
  <si>
    <t>Farrukh Sayfiev</t>
  </si>
  <si>
    <t>Axel Tuanzebe</t>
  </si>
  <si>
    <t>John Stones</t>
  </si>
  <si>
    <t>Josko Gvardiol</t>
  </si>
  <si>
    <t>Abdul Mumin</t>
  </si>
  <si>
    <t>Fidel Escobar</t>
  </si>
  <si>
    <t>QAT</t>
  </si>
  <si>
    <t>Israel Reyes</t>
  </si>
  <si>
    <t>Samukele Kabini</t>
  </si>
  <si>
    <t>Kim Tae-hyeon</t>
  </si>
  <si>
    <t>Vladimir Coufal</t>
  </si>
  <si>
    <t>Joel Waterman</t>
  </si>
  <si>
    <t>Manuel Akanji</t>
  </si>
  <si>
    <t>Ayoub Alawi</t>
  </si>
  <si>
    <t>Sead Kolasinac</t>
  </si>
  <si>
    <t>Alex Sandro</t>
  </si>
  <si>
    <t>Zakaria El Ouahdi</t>
  </si>
  <si>
    <t>Kieran Tierney</t>
  </si>
  <si>
    <t>Hannes Delcroix</t>
  </si>
  <si>
    <t>Auston Trusty</t>
  </si>
  <si>
    <t>Fabián Balbuena</t>
  </si>
  <si>
    <t>Jordan Bos</t>
  </si>
  <si>
    <t>Eren Elmali</t>
  </si>
  <si>
    <t>Joshua Kimmich</t>
  </si>
  <si>
    <t>Sherel Floranus</t>
  </si>
  <si>
    <t>Odilon Kossounou</t>
  </si>
  <si>
    <t>Willian Pacho</t>
  </si>
  <si>
    <t>Jan Paul van Hecke</t>
  </si>
  <si>
    <t>Yuto Nagatomo</t>
  </si>
  <si>
    <t>Adem Arous</t>
  </si>
  <si>
    <t>Gabriel Gudmundsson</t>
  </si>
  <si>
    <t>Maxim De Cuyper</t>
  </si>
  <si>
    <t>Hossam Abdelmaguid</t>
  </si>
  <si>
    <t>Milad Mohammadi</t>
  </si>
  <si>
    <t>Michael Boxall</t>
  </si>
  <si>
    <t>Marcos Llorente</t>
  </si>
  <si>
    <t>Guillermo Varela</t>
  </si>
  <si>
    <t>Hassan Al-Tambakti</t>
  </si>
  <si>
    <t>Logan Costa</t>
  </si>
  <si>
    <t>Jules Koundé</t>
  </si>
  <si>
    <t>Ismail Jakobs</t>
  </si>
  <si>
    <t>Fredrik André Bjørkan</t>
  </si>
  <si>
    <t>Akam Hashem</t>
  </si>
  <si>
    <t>Lisandro Martínez</t>
  </si>
  <si>
    <t>David Alaba</t>
  </si>
  <si>
    <t>Zineddine Belaid</t>
  </si>
  <si>
    <t>Yazan Al Arab</t>
  </si>
  <si>
    <t>Diogo Dalot</t>
  </si>
  <si>
    <t>Yerry Mina</t>
  </si>
  <si>
    <t>Rustam Ashurmatov</t>
  </si>
  <si>
    <t>Dylan Batubinsika</t>
  </si>
  <si>
    <t>Marc Guéhi</t>
  </si>
  <si>
    <t>Duje Caleta-Car</t>
  </si>
  <si>
    <t>Gideon Mensah</t>
  </si>
  <si>
    <t>Edgardo Fariña</t>
  </si>
  <si>
    <t>BIH</t>
  </si>
  <si>
    <t>Mateo Chávez</t>
  </si>
  <si>
    <t>Nkosinathi Sibisi</t>
  </si>
  <si>
    <t>Lee Tae-seok</t>
  </si>
  <si>
    <t>Stepan Chaloupek</t>
  </si>
  <si>
    <t>Derek Cornelius</t>
  </si>
  <si>
    <t>Ricardo Rodriguez</t>
  </si>
  <si>
    <t>Homam Ahmed</t>
  </si>
  <si>
    <t>Amar Dedic</t>
  </si>
  <si>
    <t>Danilo</t>
  </si>
  <si>
    <t>Issa Diop</t>
  </si>
  <si>
    <t>Jack Hendry</t>
  </si>
  <si>
    <t>Martin Expérience</t>
  </si>
  <si>
    <t>Miles Robinson</t>
  </si>
  <si>
    <t>Junior Alonso</t>
  </si>
  <si>
    <t>Jason Geria</t>
  </si>
  <si>
    <t>Abdulkerim Bardakci</t>
  </si>
  <si>
    <t>Nico Schlotterbeck</t>
  </si>
  <si>
    <t>Armando Obispo</t>
  </si>
  <si>
    <t>Christopher Opéri</t>
  </si>
  <si>
    <t>Pervis Estupiñán</t>
  </si>
  <si>
    <t>Micky van de Ven</t>
  </si>
  <si>
    <t>Tsuyoshi Watanabe</t>
  </si>
  <si>
    <t>Dylan Bronn</t>
  </si>
  <si>
    <t>Herman Johansson</t>
  </si>
  <si>
    <t>Thomas Meunier</t>
  </si>
  <si>
    <t>Ramy Rabia</t>
  </si>
  <si>
    <t>Hossein Kanaani-Zadegan</t>
  </si>
  <si>
    <t>Liberato Cacace</t>
  </si>
  <si>
    <t>Pedro Porro</t>
  </si>
  <si>
    <t>Mathías Olivera</t>
  </si>
  <si>
    <t>Saud Abdulhamid</t>
  </si>
  <si>
    <t>João Paulo Fernandes</t>
  </si>
  <si>
    <t>Ibrahima Konaté</t>
  </si>
  <si>
    <t>Moussa Niakhaté</t>
  </si>
  <si>
    <t>Marcus Holmgren Pedersen</t>
  </si>
  <si>
    <t>Manaf Younis</t>
  </si>
  <si>
    <t>Cristian Romero</t>
  </si>
  <si>
    <t>Philipp Lienhart</t>
  </si>
  <si>
    <t>Jaouen Hadjam</t>
  </si>
  <si>
    <t>Mohammad Abualnadi</t>
  </si>
  <si>
    <t>Matheus Nunes</t>
  </si>
  <si>
    <t>Johan Mojica</t>
  </si>
  <si>
    <t>Sherzod Nasrullaev</t>
  </si>
  <si>
    <t>Joris Kayembe</t>
  </si>
  <si>
    <t>Tino Livramento</t>
  </si>
  <si>
    <t>Josip Sutalo</t>
  </si>
  <si>
    <t>Baba Rahman</t>
  </si>
  <si>
    <t>Jiovany Ramos</t>
  </si>
  <si>
    <t>BRA</t>
  </si>
  <si>
    <t>Jesús Gallardo</t>
  </si>
  <si>
    <t>Khuliso Mudau</t>
  </si>
  <si>
    <t>Cho Wi-je</t>
  </si>
  <si>
    <t>Ladislav Krejci</t>
  </si>
  <si>
    <t>Moïse Bombito</t>
  </si>
  <si>
    <t>Eray Cömert</t>
  </si>
  <si>
    <t>Boualem Khoukhi</t>
  </si>
  <si>
    <t>Nikola Katic</t>
  </si>
  <si>
    <t>Bremer</t>
  </si>
  <si>
    <t>Chadi Riad</t>
  </si>
  <si>
    <t>John Souttar</t>
  </si>
  <si>
    <t>Duke Lacroix</t>
  </si>
  <si>
    <t>Tim Ream</t>
  </si>
  <si>
    <t>José Canale</t>
  </si>
  <si>
    <t>Kai Trewin</t>
  </si>
  <si>
    <t>Ozan Kabak</t>
  </si>
  <si>
    <t>Nathaniel Brown</t>
  </si>
  <si>
    <t>Joshua Brenet</t>
  </si>
  <si>
    <t>Guela Doué</t>
  </si>
  <si>
    <t>Ángelo Preciado</t>
  </si>
  <si>
    <t>Denzel Dumfries</t>
  </si>
  <si>
    <t>Ayumu Seko</t>
  </si>
  <si>
    <t>Yan Valery</t>
  </si>
  <si>
    <t>Daniel Svensson</t>
  </si>
  <si>
    <t>Koni De Winter</t>
  </si>
  <si>
    <t>Mohamed Abdelmonem</t>
  </si>
  <si>
    <t>Aria Yousefi</t>
  </si>
  <si>
    <t>Nando Pijnaker</t>
  </si>
  <si>
    <t>Aymeric Laporte</t>
  </si>
  <si>
    <t>Matías Viña</t>
  </si>
  <si>
    <t>Nawaf Boushal</t>
  </si>
  <si>
    <t>Sidny Lopes Cabral</t>
  </si>
  <si>
    <t>William Saliba</t>
  </si>
  <si>
    <t>Antoine Mendy</t>
  </si>
  <si>
    <t>Torbjørn Heggem</t>
  </si>
  <si>
    <t>Ahmed Yahya</t>
  </si>
  <si>
    <t>Nicolás Otamendi</t>
  </si>
  <si>
    <t>Phillipp Mwene</t>
  </si>
  <si>
    <t>Rayan Aït-Nouri</t>
  </si>
  <si>
    <t>Salim Obaid</t>
  </si>
  <si>
    <t>Renato Veiga</t>
  </si>
  <si>
    <t>Willer Ditta</t>
  </si>
  <si>
    <t>Umar Eshmurodov</t>
  </si>
  <si>
    <t>Aaron Tshibola</t>
  </si>
  <si>
    <t>Dan Burn</t>
  </si>
  <si>
    <t>Luka Vuskovic</t>
  </si>
  <si>
    <t>Jerome Opoku</t>
  </si>
  <si>
    <t>Eric Davis</t>
  </si>
  <si>
    <t>MAR</t>
  </si>
  <si>
    <t>Edson Álvarez</t>
  </si>
  <si>
    <t>Ime Okon</t>
  </si>
  <si>
    <t>Kim Moon-hwan</t>
  </si>
  <si>
    <t>David Jurasek</t>
  </si>
  <si>
    <t>Alphonso Davies</t>
  </si>
  <si>
    <t>Aurèle Amenda</t>
  </si>
  <si>
    <t>Sultan Al-Brake</t>
  </si>
  <si>
    <t>Stjepan Radeljic</t>
  </si>
  <si>
    <t>Léo Pereira</t>
  </si>
  <si>
    <t>Youssef Belammari</t>
  </si>
  <si>
    <t>Dominic Hyam</t>
  </si>
  <si>
    <t>Jean-Kévin Duverne</t>
  </si>
  <si>
    <t>Alex Freeman</t>
  </si>
  <si>
    <t>Gustavo Gómez</t>
  </si>
  <si>
    <t>Aziz Behich</t>
  </si>
  <si>
    <t>Mert Muldur</t>
  </si>
  <si>
    <t>David Raum</t>
  </si>
  <si>
    <t>Riechedly Bazoer</t>
  </si>
  <si>
    <t>Emmanuel Agbadou</t>
  </si>
  <si>
    <t>Jackson Porozo</t>
  </si>
  <si>
    <t>Jorrel Hato</t>
  </si>
  <si>
    <t>Hiroki Ito</t>
  </si>
  <si>
    <t>Mohamed Amine Ben Hmida</t>
  </si>
  <si>
    <t>Hjalmar Ekdal</t>
  </si>
  <si>
    <t>Joaquin Seys</t>
  </si>
  <si>
    <t>Ahmed Fatouh</t>
  </si>
  <si>
    <t>Ali Nemati</t>
  </si>
  <si>
    <t>Finn Surman</t>
  </si>
  <si>
    <t>Pau Cubarsí</t>
  </si>
  <si>
    <t>Joaquín Piquerez</t>
  </si>
  <si>
    <t>Hassan Kadesh</t>
  </si>
  <si>
    <t>Steven Moreira</t>
  </si>
  <si>
    <t>Théo Hernández</t>
  </si>
  <si>
    <t>El Hadji Malick Diouf</t>
  </si>
  <si>
    <t>Sondre Langås</t>
  </si>
  <si>
    <t>Merchas Doski</t>
  </si>
  <si>
    <t>Facundo Medina</t>
  </si>
  <si>
    <t>Alexander Prass</t>
  </si>
  <si>
    <t>Rafik Belghali</t>
  </si>
  <si>
    <t>Saed Al-Rosan</t>
  </si>
  <si>
    <t>Gonçalo Inácio</t>
  </si>
  <si>
    <t>Deiver Machado</t>
  </si>
  <si>
    <t>Abdulla Abdullaev</t>
  </si>
  <si>
    <t>Chancel Mbemba</t>
  </si>
  <si>
    <t>Reece James</t>
  </si>
  <si>
    <t>Martin Erlic</t>
  </si>
  <si>
    <t>Kojo Peprah Oppong</t>
  </si>
  <si>
    <t>Andrés Andrade</t>
  </si>
  <si>
    <t>SCO</t>
  </si>
  <si>
    <t>Erik Lira</t>
  </si>
  <si>
    <t>Olwethu Makhanya</t>
  </si>
  <si>
    <t>Park Jin-seob</t>
  </si>
  <si>
    <t>Jaroslav Zeleny</t>
  </si>
  <si>
    <t>Richie Laryea</t>
  </si>
  <si>
    <t>Luca Jaquez</t>
  </si>
  <si>
    <t>Hashmi Hussein</t>
  </si>
  <si>
    <t>Nidal Celik</t>
  </si>
  <si>
    <t>Douglas Santos</t>
  </si>
  <si>
    <t>Redouane Halhal</t>
  </si>
  <si>
    <t>Nathan Patterson</t>
  </si>
  <si>
    <t>Wilguens Paugain</t>
  </si>
  <si>
    <t>Max Arfsten</t>
  </si>
  <si>
    <t>Alexandro Maidana</t>
  </si>
  <si>
    <t>Harry Souttar</t>
  </si>
  <si>
    <t>Ferdi Kadioglu</t>
  </si>
  <si>
    <t>Malick Thiaw</t>
  </si>
  <si>
    <t>Deveron Fonville</t>
  </si>
  <si>
    <t>Evan Ndicka</t>
  </si>
  <si>
    <t>Yaimar Medina</t>
  </si>
  <si>
    <t>Marten de Roon</t>
  </si>
  <si>
    <t>Takehiro Tomiyasu</t>
  </si>
  <si>
    <t>Moutaz Neffati</t>
  </si>
  <si>
    <t>Carl Starfelt</t>
  </si>
  <si>
    <t>Timothy Castagne</t>
  </si>
  <si>
    <t>Karim Hafez</t>
  </si>
  <si>
    <t>Ramin Rezaeian</t>
  </si>
  <si>
    <t>Callan Elliot</t>
  </si>
  <si>
    <t>Marc Cucurella</t>
  </si>
  <si>
    <t>Santiago Bueno</t>
  </si>
  <si>
    <t>Moteb Al-Harbi</t>
  </si>
  <si>
    <t>Wagner Pina</t>
  </si>
  <si>
    <t>Lucas Hernández</t>
  </si>
  <si>
    <t>Idrissa ‘Gana’ Gueye</t>
  </si>
  <si>
    <t>Henrik Falchener</t>
  </si>
  <si>
    <t>Mustafa Saadoon</t>
  </si>
  <si>
    <t>Nahuel Molina</t>
  </si>
  <si>
    <t>Marco Friedl</t>
  </si>
  <si>
    <t>Ramy Bensebaini</t>
  </si>
  <si>
    <t>Mohannad Abu Taha</t>
  </si>
  <si>
    <t>João Cancelo</t>
  </si>
  <si>
    <t>Davinson Sánchez</t>
  </si>
  <si>
    <t>Bekhruz Karimov</t>
  </si>
  <si>
    <t>Gédéon Kalulu</t>
  </si>
  <si>
    <t>Djed Spence</t>
  </si>
  <si>
    <t>Nikola Moro</t>
  </si>
  <si>
    <t>Derrick Luckassen</t>
  </si>
  <si>
    <t>Michael Amir Murillo</t>
  </si>
  <si>
    <t>HAI</t>
  </si>
  <si>
    <t>Luis Romo</t>
  </si>
  <si>
    <t>Kamogelo Sebelebele</t>
  </si>
  <si>
    <t>Seol Young-woo</t>
  </si>
  <si>
    <t>David Doudera</t>
  </si>
  <si>
    <t>Niko Sigur</t>
  </si>
  <si>
    <t>Denis Zakaria</t>
  </si>
  <si>
    <t>Jassem Gaber</t>
  </si>
  <si>
    <t>Benjamin Tahirovic</t>
  </si>
  <si>
    <t>Roger Ibañez</t>
  </si>
  <si>
    <t>Anass Salah-Eddine</t>
  </si>
  <si>
    <t>Anthony Ralston</t>
  </si>
  <si>
    <t>Carl Fred Sainté</t>
  </si>
  <si>
    <t>Mark McKenzie</t>
  </si>
  <si>
    <t>Diego Gómez</t>
  </si>
  <si>
    <t>Cameron Burgess</t>
  </si>
  <si>
    <t>Kaan Ayhan</t>
  </si>
  <si>
    <t>Aleksandar Pavlovic</t>
  </si>
  <si>
    <t>Godfried Roemeratoe</t>
  </si>
  <si>
    <t>Jean Michaël Seri</t>
  </si>
  <si>
    <t>Jordy Alcívar</t>
  </si>
  <si>
    <t>Ryan Gravenberch</t>
  </si>
  <si>
    <t>Junnosuke Suzuki</t>
  </si>
  <si>
    <t>Raed Chikhaoui</t>
  </si>
  <si>
    <t>Eric Smith</t>
  </si>
  <si>
    <t>Nathan Ngoy</t>
  </si>
  <si>
    <t>Tarek Alaa</t>
  </si>
  <si>
    <t>Danial Eiri</t>
  </si>
  <si>
    <t>Tommy Smith</t>
  </si>
  <si>
    <t>Mikel Merino</t>
  </si>
  <si>
    <t>Juan Manuel Sanabria</t>
  </si>
  <si>
    <t>Jehad Thakri</t>
  </si>
  <si>
    <t>Kelvin Pires</t>
  </si>
  <si>
    <t>Maxence Lacroix</t>
  </si>
  <si>
    <t>Pathé Ciss</t>
  </si>
  <si>
    <t>Julian Ryerson</t>
  </si>
  <si>
    <t>Frans Putros</t>
  </si>
  <si>
    <t>Leandro Paredes</t>
  </si>
  <si>
    <t>Michael Svoboda</t>
  </si>
  <si>
    <t>Samir Chergui</t>
  </si>
  <si>
    <t>Ehsan Haddad</t>
  </si>
  <si>
    <t>Nuno Mendes</t>
  </si>
  <si>
    <t>Kevin Castaño</t>
  </si>
  <si>
    <t>Avazbek Ulmasaliev</t>
  </si>
  <si>
    <t>Arthur Masuaku</t>
  </si>
  <si>
    <t>Jarell Quansah</t>
  </si>
  <si>
    <t>Mateo Kovacic</t>
  </si>
  <si>
    <t>Marvin Senaya</t>
  </si>
  <si>
    <t>Roderick Miller</t>
  </si>
  <si>
    <t>USA</t>
  </si>
  <si>
    <t>Álvaro Fidalgo</t>
  </si>
  <si>
    <t>Bradley Cross</t>
  </si>
  <si>
    <t>Jens Castrop</t>
  </si>
  <si>
    <t>Vladimír Darida</t>
  </si>
  <si>
    <t>Mathieu Choinière</t>
  </si>
  <si>
    <t>Remo Freuler</t>
  </si>
  <si>
    <t>Abdulaziz Hatem</t>
  </si>
  <si>
    <t>Armin Gigovic</t>
  </si>
  <si>
    <t>Casemiro</t>
  </si>
  <si>
    <t>Sofyan Amrabat</t>
  </si>
  <si>
    <t>Scott McKenna</t>
  </si>
  <si>
    <t>Jean-Ricner Bellegarde</t>
  </si>
  <si>
    <t>Joe Scally</t>
  </si>
  <si>
    <t>Maurício</t>
  </si>
  <si>
    <t>Lucas Herrington</t>
  </si>
  <si>
    <t>Samet Akaydin</t>
  </si>
  <si>
    <t>Leon Goretzka</t>
  </si>
  <si>
    <t>Juninho Bacuna</t>
  </si>
  <si>
    <t>Séko Fofana</t>
  </si>
  <si>
    <t>Denil Castillo</t>
  </si>
  <si>
    <t>Mats Wieffer</t>
  </si>
  <si>
    <t>Wataru Endo</t>
  </si>
  <si>
    <t>Hannibal Mejbri</t>
  </si>
  <si>
    <t>Elliot Stroud</t>
  </si>
  <si>
    <t>Axel Witsel</t>
  </si>
  <si>
    <t>Emam Ashour</t>
  </si>
  <si>
    <t>Saeid Ezatolahi</t>
  </si>
  <si>
    <t>Joe Bell</t>
  </si>
  <si>
    <t>Fabián Ruiz</t>
  </si>
  <si>
    <t>Manuel Ugarte</t>
  </si>
  <si>
    <t>Mohammed Abu Al-Shamat</t>
  </si>
  <si>
    <t>Kevin Lenini Pina</t>
  </si>
  <si>
    <t>Manu Koné</t>
  </si>
  <si>
    <t>Lamine Camara</t>
  </si>
  <si>
    <t>Morten Thorsby</t>
  </si>
  <si>
    <t>Youssef Amyn</t>
  </si>
  <si>
    <t>Rodrigo De Paul</t>
  </si>
  <si>
    <t>Xaver Schlager</t>
  </si>
  <si>
    <t>Ramiz Zerrouki</t>
  </si>
  <si>
    <t>Anas Badawi</t>
  </si>
  <si>
    <t>Bruno Fernandes</t>
  </si>
  <si>
    <t>Richard Ríos</t>
  </si>
  <si>
    <t>Jakhongir Urozov</t>
  </si>
  <si>
    <t>Ngal’ayel Mukau</t>
  </si>
  <si>
    <t>Declan Rice</t>
  </si>
  <si>
    <t>Luka Modric</t>
  </si>
  <si>
    <t>Caleb Yirenkyi</t>
  </si>
  <si>
    <t>Jorge Gutiérrez</t>
  </si>
  <si>
    <t>PAR</t>
  </si>
  <si>
    <t>Orbelín Pineda</t>
  </si>
  <si>
    <t>Teboho Mokoena</t>
  </si>
  <si>
    <t>Hwang In-beom</t>
  </si>
  <si>
    <t>Lukas Cerv</t>
  </si>
  <si>
    <t>Stephen Eustáquio</t>
  </si>
  <si>
    <t>Granit Xhaka</t>
  </si>
  <si>
    <t>Karim Boudiaf</t>
  </si>
  <si>
    <t>Ivan Basic</t>
  </si>
  <si>
    <t>Bruno Guimarães</t>
  </si>
  <si>
    <t>Ayyoub Bouaddi</t>
  </si>
  <si>
    <t>Scott McTominay</t>
  </si>
  <si>
    <t>Leverton Pierre</t>
  </si>
  <si>
    <t>Tyler Adams</t>
  </si>
  <si>
    <t>Andrés Cubas</t>
  </si>
  <si>
    <t>Mathew Leckie</t>
  </si>
  <si>
    <t>Salih Özcan</t>
  </si>
  <si>
    <t>Jamie Leweling</t>
  </si>
  <si>
    <t>Livano Comenencia</t>
  </si>
  <si>
    <t>Franck Kessié</t>
  </si>
  <si>
    <t>Alan Franco</t>
  </si>
  <si>
    <t>Tijjani Reijnders</t>
  </si>
  <si>
    <t>Ao Tanaka</t>
  </si>
  <si>
    <t>Ismaël Gharbi</t>
  </si>
  <si>
    <t>Lucas Bergvall</t>
  </si>
  <si>
    <t>Kevin De Bruyne</t>
  </si>
  <si>
    <t>Mostafa Ziko</t>
  </si>
  <si>
    <t>Saman Ghoddos</t>
  </si>
  <si>
    <t>Matt Garbett</t>
  </si>
  <si>
    <t>Gavi</t>
  </si>
  <si>
    <t>Rodrigo Bentancur</t>
  </si>
  <si>
    <t>Nasser Al-Dawsari</t>
  </si>
  <si>
    <t>Jamiro Monteiro</t>
  </si>
  <si>
    <t>Aurélien Tchouaméni</t>
  </si>
  <si>
    <t>Pape Matar Sarr</t>
  </si>
  <si>
    <t>Patrick Berg</t>
  </si>
  <si>
    <t>Ibrahim Bayesh</t>
  </si>
  <si>
    <t>Valentín Barco</t>
  </si>
  <si>
    <t>Nicolas Seiwald</t>
  </si>
  <si>
    <t>Houssem Aouar</t>
  </si>
  <si>
    <t>Amer Jamous</t>
  </si>
  <si>
    <t>Bernardo Silva</t>
  </si>
  <si>
    <t>Jorge Carrascal</t>
  </si>
  <si>
    <t>Akmal Mozgovoy</t>
  </si>
  <si>
    <t>Samuel Moutoussamy</t>
  </si>
  <si>
    <t>Elliot Anderson</t>
  </si>
  <si>
    <t>Nikola Vlasic</t>
  </si>
  <si>
    <t>Thomas Partey</t>
  </si>
  <si>
    <t>Cristian Martínez</t>
  </si>
  <si>
    <t>AUS</t>
  </si>
  <si>
    <t>Obed Vargas</t>
  </si>
  <si>
    <t>Thalente Mbatha</t>
  </si>
  <si>
    <t>Paik Seung-ho</t>
  </si>
  <si>
    <t>Pavel Sulc</t>
  </si>
  <si>
    <t>Ismaël Koné</t>
  </si>
  <si>
    <t>Ardon Jashari</t>
  </si>
  <si>
    <t>Ahmed Fathy</t>
  </si>
  <si>
    <t>Ivan Sunjic</t>
  </si>
  <si>
    <t>Fabinho</t>
  </si>
  <si>
    <t>Azzedine Ounahi</t>
  </si>
  <si>
    <t>John McGinn</t>
  </si>
  <si>
    <t>Danley Jean Jacques</t>
  </si>
  <si>
    <t>Gio Reyna</t>
  </si>
  <si>
    <t>Damián Bobadilla</t>
  </si>
  <si>
    <t>Connor Metcalfe</t>
  </si>
  <si>
    <t>Orkun Kokcu</t>
  </si>
  <si>
    <t>Jamal Musiala</t>
  </si>
  <si>
    <t>Leandro Bacuna</t>
  </si>
  <si>
    <t>Ibrahim Sangaré</t>
  </si>
  <si>
    <t>Moisés Caicedo</t>
  </si>
  <si>
    <t>Guus Til</t>
  </si>
  <si>
    <t>Daichi Kamada</t>
  </si>
  <si>
    <t>Mortadha Ben Ouanes</t>
  </si>
  <si>
    <t>Jesper Karlström</t>
  </si>
  <si>
    <t>Youri Tielemans</t>
  </si>
  <si>
    <t>Hamdy Fathy</t>
  </si>
  <si>
    <t>Rouzbeh Cheshmi</t>
  </si>
  <si>
    <t>Marko Stamenić</t>
  </si>
  <si>
    <t>Dani Olmo</t>
  </si>
  <si>
    <t>Nicolás de la Cruz</t>
  </si>
  <si>
    <t>Musab Al-Juwayr</t>
  </si>
  <si>
    <t>Garry Rodrigues</t>
  </si>
  <si>
    <t>N'Golo Kanté</t>
  </si>
  <si>
    <t>Habib Diarra</t>
  </si>
  <si>
    <t>Sander Berge</t>
  </si>
  <si>
    <t>Ahmed Qasim</t>
  </si>
  <si>
    <t>Giovani Lo Celso</t>
  </si>
  <si>
    <t>Marcel Sabitzer</t>
  </si>
  <si>
    <t>Farès Chaïbi</t>
  </si>
  <si>
    <t>Noor Al-Rawabdeh</t>
  </si>
  <si>
    <t>João Neves</t>
  </si>
  <si>
    <t>James Rodríguez</t>
  </si>
  <si>
    <t>Otabek Shukurov</t>
  </si>
  <si>
    <t>Gaël Kakuta</t>
  </si>
  <si>
    <t>Jude Bellingham</t>
  </si>
  <si>
    <t>Mario Pasalic</t>
  </si>
  <si>
    <t>Kwasi Sibo</t>
  </si>
  <si>
    <t>Adalberto Carrasquilla</t>
  </si>
  <si>
    <t>TUR</t>
  </si>
  <si>
    <t>Gilberto Mora</t>
  </si>
  <si>
    <t>Aubrey Modiba</t>
  </si>
  <si>
    <t>Lee Jae-sung</t>
  </si>
  <si>
    <t>Michal Sadilek</t>
  </si>
  <si>
    <t>Jacob Shaffelburg</t>
  </si>
  <si>
    <t>Djibril Sow</t>
  </si>
  <si>
    <t>Assim Madibo</t>
  </si>
  <si>
    <t>Amir Hadziahmetovic</t>
  </si>
  <si>
    <t>Danilo Santos</t>
  </si>
  <si>
    <t>Ismael Saibari</t>
  </si>
  <si>
    <t>Tyler Fletcher</t>
  </si>
  <si>
    <t>Dominique Simon</t>
  </si>
  <si>
    <t>Weston McKennie</t>
  </si>
  <si>
    <t>Alejandro ‘Kaku’ Romero</t>
  </si>
  <si>
    <t>Ajdin Hrustic</t>
  </si>
  <si>
    <t>Arda Guler</t>
  </si>
  <si>
    <t>Pascal Gross</t>
  </si>
  <si>
    <t>Tyrese Noslin</t>
  </si>
  <si>
    <t>Parfait Guiagon</t>
  </si>
  <si>
    <t>Anthony Valencia</t>
  </si>
  <si>
    <t>Teun Koopmeiners</t>
  </si>
  <si>
    <t>Yuito Suzuki</t>
  </si>
  <si>
    <t>Rani Khedira</t>
  </si>
  <si>
    <t>Yasin Ayari</t>
  </si>
  <si>
    <t>Hans Vanaken</t>
  </si>
  <si>
    <t>Mohanad Lasheen</t>
  </si>
  <si>
    <t>Mohammad Ghorbani</t>
  </si>
  <si>
    <t>Sarpreet Singh</t>
  </si>
  <si>
    <t>Álex Baena</t>
  </si>
  <si>
    <t>Federico Valverde</t>
  </si>
  <si>
    <t>Ayman Yahya</t>
  </si>
  <si>
    <t>Deroy Duarte</t>
  </si>
  <si>
    <t>Adrien Rabiot</t>
  </si>
  <si>
    <t>Bara Sapoko Ndiaye</t>
  </si>
  <si>
    <t>Martin Ødegaard</t>
  </si>
  <si>
    <t>Zidane Iqbal</t>
  </si>
  <si>
    <t>Exequiel Palacios</t>
  </si>
  <si>
    <t>Florian Grillitsch</t>
  </si>
  <si>
    <t>Hicham Boudaoui</t>
  </si>
  <si>
    <t>Rajaei Ayed</t>
  </si>
  <si>
    <t>Francisco Trincão</t>
  </si>
  <si>
    <t>Jhon Arias</t>
  </si>
  <si>
    <t>Jamshid Iskanderov</t>
  </si>
  <si>
    <t>Noah Sadiki</t>
  </si>
  <si>
    <t>Jordan Henderson</t>
  </si>
  <si>
    <t>Martin Baturina</t>
  </si>
  <si>
    <t>Elisha Owusu</t>
  </si>
  <si>
    <t>Carlos Harvey</t>
  </si>
  <si>
    <t>GER</t>
  </si>
  <si>
    <t>Luis Chávez</t>
  </si>
  <si>
    <t>Sphephelo Sithole</t>
  </si>
  <si>
    <t>Yang Hyun-jun</t>
  </si>
  <si>
    <t>Tomas Soucek</t>
  </si>
  <si>
    <t>Jonathan Osorio</t>
  </si>
  <si>
    <t>Christian Fassnacht</t>
  </si>
  <si>
    <t>Mohamed Al-Mannai</t>
  </si>
  <si>
    <t>Dzenis Burnic</t>
  </si>
  <si>
    <t>Lucas Paquetá</t>
  </si>
  <si>
    <t>Samir El Mourabet</t>
  </si>
  <si>
    <t>Lewis Ferguson</t>
  </si>
  <si>
    <t>Woodensky Pierre</t>
  </si>
  <si>
    <t>Brenden Aaronson</t>
  </si>
  <si>
    <t>Braian Ojeda</t>
  </si>
  <si>
    <t>Aiden O’Neill</t>
  </si>
  <si>
    <t>Hakan Calhanoglu</t>
  </si>
  <si>
    <t>Angelo Stiller</t>
  </si>
  <si>
    <t>Ar'jany Martha</t>
  </si>
  <si>
    <t>Ange-Yoan Bonny</t>
  </si>
  <si>
    <t>John Yeboah</t>
  </si>
  <si>
    <t>Frenkie de Jong</t>
  </si>
  <si>
    <t>Kaishu Sano</t>
  </si>
  <si>
    <t>Hadj Mahmoud</t>
  </si>
  <si>
    <t>Mattias Svanberg</t>
  </si>
  <si>
    <t>Nicolas Raskin</t>
  </si>
  <si>
    <t>Nabil 'Dunga' Emad</t>
  </si>
  <si>
    <t>Amirmohammad Razzaghinia</t>
  </si>
  <si>
    <t>Alex Rufer</t>
  </si>
  <si>
    <t>Rodri</t>
  </si>
  <si>
    <t>Giorgian de Arrascaeta</t>
  </si>
  <si>
    <t>Abdullah Al-Khaibari</t>
  </si>
  <si>
    <t>Laros Duarte</t>
  </si>
  <si>
    <t>Warren Zaïre-Emery</t>
  </si>
  <si>
    <t>Pape Gueye</t>
  </si>
  <si>
    <t>Fredrik Aursnes</t>
  </si>
  <si>
    <t>Amir Al-Ammari</t>
  </si>
  <si>
    <t>Nicolás González</t>
  </si>
  <si>
    <t>Carney Chukwuemeka</t>
  </si>
  <si>
    <t>Nabil Bentaleb</t>
  </si>
  <si>
    <t>Ibrahim Sadeh</t>
  </si>
  <si>
    <t>Rúben Neves</t>
  </si>
  <si>
    <t>Gustavo Puerta</t>
  </si>
  <si>
    <t>Odiljon Khamrobekov</t>
  </si>
  <si>
    <t>Charles Pickel</t>
  </si>
  <si>
    <t>Kobbie Mainoo</t>
  </si>
  <si>
    <t>Petar Sucic</t>
  </si>
  <si>
    <t>Augustine Boakye</t>
  </si>
  <si>
    <t>Aníbal Godoy</t>
  </si>
  <si>
    <t>CUW</t>
  </si>
  <si>
    <t>Brian Gutiérrez</t>
  </si>
  <si>
    <t>Jayden Adams</t>
  </si>
  <si>
    <t>Kim Jin-gyu</t>
  </si>
  <si>
    <t>Alexandr Sojka</t>
  </si>
  <si>
    <t>Nathan-Dylan Saliba</t>
  </si>
  <si>
    <t>Michel Aebischer</t>
  </si>
  <si>
    <t>Ahmed Alaaeldin</t>
  </si>
  <si>
    <t>Ermin Mahmic</t>
  </si>
  <si>
    <t>Vinícius Júnior</t>
  </si>
  <si>
    <t>Gessime Yassine</t>
  </si>
  <si>
    <t>Kenny McLean</t>
  </si>
  <si>
    <t>Derrick Etienne Jr</t>
  </si>
  <si>
    <t>Sebastian Berhalter</t>
  </si>
  <si>
    <t>Matías Galarza</t>
  </si>
  <si>
    <t>Cameron Devlin</t>
  </si>
  <si>
    <t>Ismail Yuksek</t>
  </si>
  <si>
    <t>Florian Wirtz</t>
  </si>
  <si>
    <t>Kevin Felida</t>
  </si>
  <si>
    <t>Simon Adingra</t>
  </si>
  <si>
    <t>Kendry Páez</t>
  </si>
  <si>
    <t>Quinten Timber</t>
  </si>
  <si>
    <t>Takefusa Kubo</t>
  </si>
  <si>
    <t>Ellyes Skhiri</t>
  </si>
  <si>
    <t>Besfort Zeneli</t>
  </si>
  <si>
    <t>Amadou Onana</t>
  </si>
  <si>
    <t>Marwan Attia</t>
  </si>
  <si>
    <t>Alireza Jahanbakhsh</t>
  </si>
  <si>
    <t>Ryan Thomas</t>
  </si>
  <si>
    <t>Martín Zubimendi</t>
  </si>
  <si>
    <t>Agustín Canobbio</t>
  </si>
  <si>
    <t>Ziyad Al-Johani</t>
  </si>
  <si>
    <t>Yannick Semedo</t>
  </si>
  <si>
    <t>Ousmane Dembélé</t>
  </si>
  <si>
    <t>Assane Diao</t>
  </si>
  <si>
    <t>Kristian Thorstvedt</t>
  </si>
  <si>
    <t>Kevin Yakob</t>
  </si>
  <si>
    <t>Thiago Almada</t>
  </si>
  <si>
    <t>Romano Schmid</t>
  </si>
  <si>
    <t>Ibrahim Maza</t>
  </si>
  <si>
    <t>Nizar Al-Rashdan</t>
  </si>
  <si>
    <t>Vitinha</t>
  </si>
  <si>
    <t>Juan Portilla</t>
  </si>
  <si>
    <t>Azizjon Ganiev</t>
  </si>
  <si>
    <t>Edo Kayembe</t>
  </si>
  <si>
    <t>Morgan Rogers</t>
  </si>
  <si>
    <t>Kristijan Jakic</t>
  </si>
  <si>
    <t>Abdul Fatawu</t>
  </si>
  <si>
    <t>José Luis Rodríguez</t>
  </si>
  <si>
    <t>CIV</t>
  </si>
  <si>
    <t>Raúl Jiménez</t>
  </si>
  <si>
    <t>Oswin Appollis</t>
  </si>
  <si>
    <t>Lee Dong-gyeong</t>
  </si>
  <si>
    <t>Hugo Sochurek</t>
  </si>
  <si>
    <t>Cyle Larin</t>
  </si>
  <si>
    <t>Fabian Rieder</t>
  </si>
  <si>
    <t>Edmilson Junior</t>
  </si>
  <si>
    <t>Samed Bazdar</t>
  </si>
  <si>
    <t>Matheus Cunha</t>
  </si>
  <si>
    <t>Bilal El Khannouss</t>
  </si>
  <si>
    <t>Lyndon Dykes</t>
  </si>
  <si>
    <t>Duckens Nazon</t>
  </si>
  <si>
    <t>Cristian Roldan</t>
  </si>
  <si>
    <t>Ramón Sosa</t>
  </si>
  <si>
    <t>Cristian Volpato</t>
  </si>
  <si>
    <t>Can Uzun</t>
  </si>
  <si>
    <t>Nadiem Amiri</t>
  </si>
  <si>
    <t>Jürgen Locadia</t>
  </si>
  <si>
    <t>Yan Diomandé</t>
  </si>
  <si>
    <t>Kevin Rodríguez</t>
  </si>
  <si>
    <t>Justin Kluivert</t>
  </si>
  <si>
    <t>Keisuke Goto</t>
  </si>
  <si>
    <t>Anis Ben Slimane</t>
  </si>
  <si>
    <t>Alexander Isak</t>
  </si>
  <si>
    <t>Romelu Lukaku</t>
  </si>
  <si>
    <t>Mahmoud Saber</t>
  </si>
  <si>
    <t>Mohammad Mohebi</t>
  </si>
  <si>
    <t>Lachlan Bayliss</t>
  </si>
  <si>
    <t>Pedri</t>
  </si>
  <si>
    <t>Khalid Al-Ghannam</t>
  </si>
  <si>
    <t>Telmo Arcanjo</t>
  </si>
  <si>
    <t>Marcus Thuram</t>
  </si>
  <si>
    <t>Bamba Dieng</t>
  </si>
  <si>
    <t>Thelo Aasgaard</t>
  </si>
  <si>
    <t>Aimar Sher</t>
  </si>
  <si>
    <t>Nico Paz</t>
  </si>
  <si>
    <t>Christoph Baumgartner</t>
  </si>
  <si>
    <t>Yacine Titraoui</t>
  </si>
  <si>
    <t>Mohammad Al-Dawoud</t>
  </si>
  <si>
    <t>Samú Costa</t>
  </si>
  <si>
    <t>Jefferson Lerma</t>
  </si>
  <si>
    <t>Azizbek Amonov</t>
  </si>
  <si>
    <t>Nathanaël Mbuku</t>
  </si>
  <si>
    <t>Eberechi Eze</t>
  </si>
  <si>
    <t>Toni Fruk</t>
  </si>
  <si>
    <t>Jordan Ayew</t>
  </si>
  <si>
    <t>Tomás Rodríguez</t>
  </si>
  <si>
    <t>ECU</t>
  </si>
  <si>
    <t>Alexis Vega</t>
  </si>
  <si>
    <t>Tshepang Moremi</t>
  </si>
  <si>
    <t>Son Heung-min</t>
  </si>
  <si>
    <t>Denis Visinsky</t>
  </si>
  <si>
    <t>Jonathan David</t>
  </si>
  <si>
    <t>Breel Embolo</t>
  </si>
  <si>
    <t>Mohammed Muntari</t>
  </si>
  <si>
    <t>Ermedin Demirovic</t>
  </si>
  <si>
    <t>Neymar</t>
  </si>
  <si>
    <t>Neil El Aynaoui</t>
  </si>
  <si>
    <t>Che Adams</t>
  </si>
  <si>
    <t>Louicius Deedson</t>
  </si>
  <si>
    <t>Ricardo Pepi</t>
  </si>
  <si>
    <t>Antonio Sanabria</t>
  </si>
  <si>
    <t>Jackson Irvine</t>
  </si>
  <si>
    <t>Kerem Akturkoglu</t>
  </si>
  <si>
    <t>Felix Nmecha</t>
  </si>
  <si>
    <t>Jeremy Antonisse</t>
  </si>
  <si>
    <t>Elye Wahi</t>
  </si>
  <si>
    <t>Enner Valencia</t>
  </si>
  <si>
    <t>Wout Weghorst</t>
  </si>
  <si>
    <t>Ritsu Doan</t>
  </si>
  <si>
    <t>Elias Achouri</t>
  </si>
  <si>
    <t>Benjamin Nygren</t>
  </si>
  <si>
    <t>Leandro Trossard</t>
  </si>
  <si>
    <t>Mahmoud Hassan ‘Trezeguet’</t>
  </si>
  <si>
    <t>Mehdi Taremi</t>
  </si>
  <si>
    <t>Chris Wood</t>
  </si>
  <si>
    <t>Ferran Torres</t>
  </si>
  <si>
    <t>Rodrigo Zalazar</t>
  </si>
  <si>
    <t>Alaa Al-Hejji</t>
  </si>
  <si>
    <t>Ryan Mendes</t>
  </si>
  <si>
    <t>Kylian Mbappé</t>
  </si>
  <si>
    <t>Sadio Mané</t>
  </si>
  <si>
    <t>Alexander Sørloth</t>
  </si>
  <si>
    <t>Zaid Ismail</t>
  </si>
  <si>
    <t>Alexis Mac Allister</t>
  </si>
  <si>
    <t>Konrad Laimer</t>
  </si>
  <si>
    <t>Riyad Mahrez</t>
  </si>
  <si>
    <t>Mohammad Abu Zrayq</t>
  </si>
  <si>
    <t>Cristiano Ronaldo</t>
  </si>
  <si>
    <t>Juan Quintero</t>
  </si>
  <si>
    <t>Abbosbek Fayzullaev</t>
  </si>
  <si>
    <t>Brian Cipenga</t>
  </si>
  <si>
    <t>Bukayo Saka</t>
  </si>
  <si>
    <t>Luka Sucic</t>
  </si>
  <si>
    <t>Brandon Thomas-Asante</t>
  </si>
  <si>
    <t>Ismael Díaz</t>
  </si>
  <si>
    <t>NED</t>
  </si>
  <si>
    <t>Santiago Gimenez</t>
  </si>
  <si>
    <t>Lyle Foster</t>
  </si>
  <si>
    <t>Cho Gue-sung</t>
  </si>
  <si>
    <t>Adam Hlozek</t>
  </si>
  <si>
    <t>Liam Millar</t>
  </si>
  <si>
    <t>Johan Manzambi</t>
  </si>
  <si>
    <t>Hassan Al-Haydos</t>
  </si>
  <si>
    <t>Edin Dzeko</t>
  </si>
  <si>
    <t>Raphinha</t>
  </si>
  <si>
    <t>Chemsdine Talbi</t>
  </si>
  <si>
    <t>Ryan Christie</t>
  </si>
  <si>
    <t>Ruben Providence</t>
  </si>
  <si>
    <t>Christian Pulisic</t>
  </si>
  <si>
    <t>Miguel Almirón</t>
  </si>
  <si>
    <t>Paul Okon-Engstler</t>
  </si>
  <si>
    <t>Deniz Gul</t>
  </si>
  <si>
    <t>Lennart Karl</t>
  </si>
  <si>
    <t>Sontje Hansen</t>
  </si>
  <si>
    <t>Oumar Diakité</t>
  </si>
  <si>
    <t>Alan Minda</t>
  </si>
  <si>
    <t>Memphis Depay</t>
  </si>
  <si>
    <t>Daizen Maeda</t>
  </si>
  <si>
    <t>Elias Saad</t>
  </si>
  <si>
    <t>Anthony Elanga</t>
  </si>
  <si>
    <t>Jérémy Doku</t>
  </si>
  <si>
    <t>Hamza Abdelkarim</t>
  </si>
  <si>
    <t>Mehdi Ghaedi</t>
  </si>
  <si>
    <t>Eli Just</t>
  </si>
  <si>
    <t>Yéremy Pino</t>
  </si>
  <si>
    <t>Darwin Núñez</t>
  </si>
  <si>
    <t>Mohamed Kanno</t>
  </si>
  <si>
    <t>Jovane Cabral</t>
  </si>
  <si>
    <t>Michael Olise</t>
  </si>
  <si>
    <t>Nicolas Jackson</t>
  </si>
  <si>
    <t>Erling Haaland</t>
  </si>
  <si>
    <t>Ali Al-Hamadi</t>
  </si>
  <si>
    <t>Enzo Fernández</t>
  </si>
  <si>
    <t>Patrick Wimmer</t>
  </si>
  <si>
    <t>Amine Gouiri</t>
  </si>
  <si>
    <t>Ali Olwan</t>
  </si>
  <si>
    <t>Gonçalo Ramos</t>
  </si>
  <si>
    <t>Luis Díaz</t>
  </si>
  <si>
    <t>Sherzod Esanov</t>
  </si>
  <si>
    <t>Théo Bongonda</t>
  </si>
  <si>
    <t>Harry Kane</t>
  </si>
  <si>
    <t>Andrej Kramaric</t>
  </si>
  <si>
    <t>Antoine Semenyo</t>
  </si>
  <si>
    <t>Édgar Yoel Bárcenas</t>
  </si>
  <si>
    <t>JPN</t>
  </si>
  <si>
    <t>Armando González</t>
  </si>
  <si>
    <t>Relebohile Mofokeng</t>
  </si>
  <si>
    <t>Hwang Hee-chan</t>
  </si>
  <si>
    <t>Patrik Schick</t>
  </si>
  <si>
    <t>Tani Oluwaseyi</t>
  </si>
  <si>
    <t>Dan Ndoye</t>
  </si>
  <si>
    <t>Akram Afif</t>
  </si>
  <si>
    <t>Amar Memic</t>
  </si>
  <si>
    <t>Endrick</t>
  </si>
  <si>
    <t>Soufiane Rahimi</t>
  </si>
  <si>
    <t>Ross Stewart</t>
  </si>
  <si>
    <t>Lenny Joseph</t>
  </si>
  <si>
    <t>Malik Tillman</t>
  </si>
  <si>
    <t>Álex Arce</t>
  </si>
  <si>
    <t>Mohamed Touré</t>
  </si>
  <si>
    <t>Kenan Yildiz</t>
  </si>
  <si>
    <t>Kai Havertz</t>
  </si>
  <si>
    <t>Kenji Gorré</t>
  </si>
  <si>
    <t>Amad Diallo</t>
  </si>
  <si>
    <t>Pedro Vite</t>
  </si>
  <si>
    <t>Cody Gakpo</t>
  </si>
  <si>
    <t>Keito Nakamura</t>
  </si>
  <si>
    <t>Hazem Mastouri</t>
  </si>
  <si>
    <t>Ken Sema</t>
  </si>
  <si>
    <t>Dodi Lukébakio</t>
  </si>
  <si>
    <t>Mohamed Salah</t>
  </si>
  <si>
    <t>Ali Alipour</t>
  </si>
  <si>
    <t>Kosta Barbarouses</t>
  </si>
  <si>
    <t>Nico Williams</t>
  </si>
  <si>
    <t>Facundo Pellistri</t>
  </si>
  <si>
    <t>Firas Al-Buraikan</t>
  </si>
  <si>
    <t>Gilson ‘Benchimol’ Tavares</t>
  </si>
  <si>
    <t>Bradley Barcola</t>
  </si>
  <si>
    <t>Cherif Ndiaye</t>
  </si>
  <si>
    <t>Jørgen Strand Larsen</t>
  </si>
  <si>
    <t>Mohanad Ali</t>
  </si>
  <si>
    <t>Julián Álvarez</t>
  </si>
  <si>
    <t>Paul Wanner</t>
  </si>
  <si>
    <t>Anis Hadj Moussa</t>
  </si>
  <si>
    <t>Musa Al-Taamari</t>
  </si>
  <si>
    <t>João Félix</t>
  </si>
  <si>
    <t>Jhon Córdoba</t>
  </si>
  <si>
    <t>Jaloliddin Masharipov</t>
  </si>
  <si>
    <t>Meschack Elia</t>
  </si>
  <si>
    <t>Marcus Rashford</t>
  </si>
  <si>
    <t>Ante Budimir</t>
  </si>
  <si>
    <t>Christopher Bonsu Baah</t>
  </si>
  <si>
    <t>José Fajardo</t>
  </si>
  <si>
    <t>TUN</t>
  </si>
  <si>
    <t>Julián Quiñones</t>
  </si>
  <si>
    <t>Themba Zwane</t>
  </si>
  <si>
    <t>Bae Jun-ho</t>
  </si>
  <si>
    <t>Jan Kuchta</t>
  </si>
  <si>
    <t>Tajon Buchanan</t>
  </si>
  <si>
    <t>Ruben Vargas</t>
  </si>
  <si>
    <t>Yusuf Abdurisag</t>
  </si>
  <si>
    <t>Kerim Alajbegovic</t>
  </si>
  <si>
    <t>Luiz Henrique</t>
  </si>
  <si>
    <t>Brahim Díaz</t>
  </si>
  <si>
    <t>Ben Gannon-Doak</t>
  </si>
  <si>
    <t>Wilson Isidor</t>
  </si>
  <si>
    <t>Haji Wright</t>
  </si>
  <si>
    <t>Julio Enciso</t>
  </si>
  <si>
    <t>Awer Mabil</t>
  </si>
  <si>
    <t>Irfan Can Kahveci</t>
  </si>
  <si>
    <t>Nick Woltemade</t>
  </si>
  <si>
    <t>Jearl Margaritha</t>
  </si>
  <si>
    <t>Nicolas Pépé</t>
  </si>
  <si>
    <t>Jordy Caicedo</t>
  </si>
  <si>
    <t>Noa Lang</t>
  </si>
  <si>
    <t>Junya Ito</t>
  </si>
  <si>
    <t>Khalil Ayari</t>
  </si>
  <si>
    <t>Viktor Gyökeres</t>
  </si>
  <si>
    <t>Charles De Ketelaere</t>
  </si>
  <si>
    <t>Haissem Hassan</t>
  </si>
  <si>
    <t>Mehdi Torabi</t>
  </si>
  <si>
    <t>Ben Waine</t>
  </si>
  <si>
    <t>Lamine Yamal</t>
  </si>
  <si>
    <t>Brian Rodríguez</t>
  </si>
  <si>
    <t>Salem Al-Dawsari</t>
  </si>
  <si>
    <t>Willy Semedo</t>
  </si>
  <si>
    <t>Désiré Doué</t>
  </si>
  <si>
    <t>Iliman Ndiaye</t>
  </si>
  <si>
    <t>Antonio Nusa</t>
  </si>
  <si>
    <t>Ali Yousef</t>
  </si>
  <si>
    <t>Lionel Messi</t>
  </si>
  <si>
    <t>Alessandro Schöpf</t>
  </si>
  <si>
    <t>Nadhir Benbouali</t>
  </si>
  <si>
    <t>Odeh Al-Fakhouri</t>
  </si>
  <si>
    <t>Rafael Leão</t>
  </si>
  <si>
    <t>Juan Camilo ‘Cucho’ Hernández</t>
  </si>
  <si>
    <t>Oston Urunov</t>
  </si>
  <si>
    <t>Cédric Bakambu</t>
  </si>
  <si>
    <t>Anthony Gordon</t>
  </si>
  <si>
    <t>Ivan Perisic</t>
  </si>
  <si>
    <t>Iñaki Williams</t>
  </si>
  <si>
    <t>Cecilio Waterman</t>
  </si>
  <si>
    <t>SWE</t>
  </si>
  <si>
    <t>César Huerta</t>
  </si>
  <si>
    <t>Thapelo Maseko</t>
  </si>
  <si>
    <t>Oh Hyeon-gyu</t>
  </si>
  <si>
    <t>Mojmir Chytil</t>
  </si>
  <si>
    <t>Ali Ahmed</t>
  </si>
  <si>
    <t>Noah Okafor</t>
  </si>
  <si>
    <t>Ahmed Al-Ganehi</t>
  </si>
  <si>
    <t>Esmir Bajraktarevic</t>
  </si>
  <si>
    <t>Gabriel Martinelli</t>
  </si>
  <si>
    <t>Abdessamad Ezzalzouli</t>
  </si>
  <si>
    <t>George Hirst</t>
  </si>
  <si>
    <t>Yassin Fortuné</t>
  </si>
  <si>
    <t>Folarin Balogun</t>
  </si>
  <si>
    <t>Gabriel Ávalos</t>
  </si>
  <si>
    <t>Nestory Irankunda</t>
  </si>
  <si>
    <t>Yunus Akgun</t>
  </si>
  <si>
    <t>Maximilian Beier</t>
  </si>
  <si>
    <t>Brandley Kuwas</t>
  </si>
  <si>
    <t>Evann Guessand</t>
  </si>
  <si>
    <t>Gonzalo Plata</t>
  </si>
  <si>
    <t>Donyell Malen</t>
  </si>
  <si>
    <t>Ayase Ueda</t>
  </si>
  <si>
    <t>Rayan Elloumi</t>
  </si>
  <si>
    <t>Alexander Bernhardsson</t>
  </si>
  <si>
    <t>Diego Moreira</t>
  </si>
  <si>
    <t>Ibrahim Adel</t>
  </si>
  <si>
    <t>Amirhossein Hosseinzadeh</t>
  </si>
  <si>
    <t>Ben Old</t>
  </si>
  <si>
    <t>Mikel Oyarzabal</t>
  </si>
  <si>
    <t>Rodrigo Aguirre</t>
  </si>
  <si>
    <t>Saleh Al-Shehri</t>
  </si>
  <si>
    <t>Dailon Livramento</t>
  </si>
  <si>
    <t>Jean-Philippe Mateta</t>
  </si>
  <si>
    <t>Krépin Diatta</t>
  </si>
  <si>
    <t>Andreas Schjelderup</t>
  </si>
  <si>
    <t>Ali Jassim</t>
  </si>
  <si>
    <t>Giuliano Simeone</t>
  </si>
  <si>
    <t>Marko Arnautović</t>
  </si>
  <si>
    <t>Mohamed Amine Amoura</t>
  </si>
  <si>
    <t>Mahmoud Al-Mardi</t>
  </si>
  <si>
    <t>Pedro Neto</t>
  </si>
  <si>
    <t>Jaminton Campaz</t>
  </si>
  <si>
    <t>Eldor Shomurodov</t>
  </si>
  <si>
    <t>Fiston Mayele</t>
  </si>
  <si>
    <t>Ollie Watkins</t>
  </si>
  <si>
    <t>Igor Matanovic</t>
  </si>
  <si>
    <t>Kamaldeen Sulemana</t>
  </si>
  <si>
    <t>Alberto Quintero</t>
  </si>
  <si>
    <t>BEL</t>
  </si>
  <si>
    <t>Guillermo Martínez</t>
  </si>
  <si>
    <t>Iqraam Rayners</t>
  </si>
  <si>
    <t>Lee Kang-in</t>
  </si>
  <si>
    <t>Lukas Provod</t>
  </si>
  <si>
    <t>Promise David</t>
  </si>
  <si>
    <t>Zeki Amdouni</t>
  </si>
  <si>
    <t>Almoez Ali</t>
  </si>
  <si>
    <t>Haris Tabakovic</t>
  </si>
  <si>
    <t>Igor Thiago</t>
  </si>
  <si>
    <t>Ayoub El Kaabi</t>
  </si>
  <si>
    <t>Lawrence Shankland</t>
  </si>
  <si>
    <t>Frantzdy Pierrot</t>
  </si>
  <si>
    <t>Tim Weah</t>
  </si>
  <si>
    <t>Gustavo Caballero</t>
  </si>
  <si>
    <t>Nishan Velupillay</t>
  </si>
  <si>
    <t>Baris Alper Yilmaz</t>
  </si>
  <si>
    <t>Leroy Sané</t>
  </si>
  <si>
    <t>Gervane Kastaneer</t>
  </si>
  <si>
    <t>Bazoumana Touré</t>
  </si>
  <si>
    <t>Nilson Angulo</t>
  </si>
  <si>
    <t>Brian Brobbey</t>
  </si>
  <si>
    <t>Koki Ogawa</t>
  </si>
  <si>
    <t>Firas Chaouat</t>
  </si>
  <si>
    <t>Gustaf Nilsson</t>
  </si>
  <si>
    <t>Alexis Saelemaekers</t>
  </si>
  <si>
    <t>Omar Marmoush</t>
  </si>
  <si>
    <t>Shahriar Moghanloo</t>
  </si>
  <si>
    <t>Callum McCowatt</t>
  </si>
  <si>
    <t>Víctor Muñoz</t>
  </si>
  <si>
    <t>Maximiliano Araújo</t>
  </si>
  <si>
    <t>Abdullah Al-Hamdan</t>
  </si>
  <si>
    <t>Nuno da Costa</t>
  </si>
  <si>
    <t>Rayan Cherki</t>
  </si>
  <si>
    <t>Ismaïla Sarr</t>
  </si>
  <si>
    <t>Oscar Bobb</t>
  </si>
  <si>
    <t>Aymen Hussein</t>
  </si>
  <si>
    <t>José López</t>
  </si>
  <si>
    <t>Michael Gregoritsch</t>
  </si>
  <si>
    <t>Adil Boulbina</t>
  </si>
  <si>
    <t>Ibrahim Sabra</t>
  </si>
  <si>
    <t>Gonçalo Guedes</t>
  </si>
  <si>
    <t>Luis Suárez</t>
  </si>
  <si>
    <t>Dostonbek Khamdamov</t>
  </si>
  <si>
    <t>Yoane Wissa</t>
  </si>
  <si>
    <t>Noni Madueke</t>
  </si>
  <si>
    <t>Marco Pasalic</t>
  </si>
  <si>
    <t>Ernest Nuamah</t>
  </si>
  <si>
    <t>César Yanis</t>
  </si>
  <si>
    <t>EGY</t>
  </si>
  <si>
    <t>Roberto Alvarado</t>
  </si>
  <si>
    <t>Evidence Makgopa</t>
  </si>
  <si>
    <t>Eom Ji-sung</t>
  </si>
  <si>
    <t>Tomas Chory</t>
  </si>
  <si>
    <t>Marcelo Flores</t>
  </si>
  <si>
    <t>Cedric Itten</t>
  </si>
  <si>
    <t>Tahsin Mohammed Jamshid</t>
  </si>
  <si>
    <t>Jovo Lukic</t>
  </si>
  <si>
    <t>Rayan</t>
  </si>
  <si>
    <t>Ayoube Amaimouni</t>
  </si>
  <si>
    <t>Findlay Curtis</t>
  </si>
  <si>
    <t>Josué Casimir</t>
  </si>
  <si>
    <t>Alejandro Zendejas</t>
  </si>
  <si>
    <t>Isidro Pitta</t>
  </si>
  <si>
    <t>Tete Yengi</t>
  </si>
  <si>
    <t>Oguz Aydin</t>
  </si>
  <si>
    <t>Deniz Undav</t>
  </si>
  <si>
    <t>Tahith Chong</t>
  </si>
  <si>
    <t>Christ Inao Oulaï</t>
  </si>
  <si>
    <t>Jeremy Arévalo</t>
  </si>
  <si>
    <t>Crysencio Summerville</t>
  </si>
  <si>
    <t>Kento Shiogai</t>
  </si>
  <si>
    <t>Sebastien Tounekti</t>
  </si>
  <si>
    <t>Taha Ali</t>
  </si>
  <si>
    <t>Matias Fernandez-Pardo</t>
  </si>
  <si>
    <t>Ahmed Sayed ‘Zizo’</t>
  </si>
  <si>
    <t>Dennis-Yerai Eckert Ayensa</t>
  </si>
  <si>
    <t>Jesse Randall</t>
  </si>
  <si>
    <t>Borja Iglesias</t>
  </si>
  <si>
    <t>Federico Viñas</t>
  </si>
  <si>
    <t>Sultan Mandash</t>
  </si>
  <si>
    <t>Helio Varela</t>
  </si>
  <si>
    <t>Maghnes Akliouche</t>
  </si>
  <si>
    <t>Ibrahim Mbaye</t>
  </si>
  <si>
    <t>Jens Petter Hauge</t>
  </si>
  <si>
    <t>Marko Farji</t>
  </si>
  <si>
    <t>Lautaro Martínez</t>
  </si>
  <si>
    <t>Saša Kalajdžić</t>
  </si>
  <si>
    <t>Farès Ghedjemis</t>
  </si>
  <si>
    <t>Ali Azaizeh</t>
  </si>
  <si>
    <t>Francisco Conceição</t>
  </si>
  <si>
    <t>Carlos Andrés Gómez</t>
  </si>
  <si>
    <t>Igor Sergeev</t>
  </si>
  <si>
    <t>Simon Banza</t>
  </si>
  <si>
    <t>Ivan Toney</t>
  </si>
  <si>
    <t>Petar Musa</t>
  </si>
  <si>
    <t>Prince Kwabena Adu</t>
  </si>
  <si>
    <t>Azarías Londoño</t>
  </si>
  <si>
    <t>IRN</t>
  </si>
  <si>
    <t>NZL</t>
  </si>
  <si>
    <t>ESP</t>
  </si>
  <si>
    <t>URU</t>
  </si>
  <si>
    <t>KSA</t>
  </si>
  <si>
    <t>CPV</t>
  </si>
  <si>
    <t>FRA</t>
  </si>
  <si>
    <t>SEN</t>
  </si>
  <si>
    <t>NOR</t>
  </si>
  <si>
    <t>IRQ</t>
  </si>
  <si>
    <t>ARG</t>
  </si>
  <si>
    <t>AUT</t>
  </si>
  <si>
    <t>ALG</t>
  </si>
  <si>
    <t>JOR</t>
  </si>
  <si>
    <t>POR</t>
  </si>
  <si>
    <t>COL</t>
  </si>
  <si>
    <t>UZB</t>
  </si>
  <si>
    <t>COD</t>
  </si>
  <si>
    <t>ENG</t>
  </si>
  <si>
    <t>CRO</t>
  </si>
  <si>
    <t>GHA</t>
  </si>
  <si>
    <t>PAN</t>
  </si>
  <si>
    <t>🏅 PRONÓSTICOS INDIVIDUALES</t>
  </si>
  <si>
    <t>Selección</t>
  </si>
  <si>
    <t>Jugador</t>
  </si>
  <si>
    <t>👟 Máximo Goleador</t>
  </si>
  <si>
    <t>⭐ MVP del Campeonato</t>
  </si>
  <si>
    <t>Elige primero la selección y luego el jugador del desplegable. Guarda y reimporta en la app para cargar tu pronóstico.</t>
  </si>
  <si>
    <t>Match ID</t>
  </si>
  <si>
    <t>Sheet</t>
  </si>
  <si>
    <t>Score A / Team Addr</t>
  </si>
  <si>
    <t>Score B / Player Addr</t>
  </si>
  <si>
    <t>Penalties</t>
  </si>
  <si>
    <t>Fase de Grupos</t>
  </si>
  <si>
    <t>G4</t>
  </si>
  <si>
    <t>I4</t>
  </si>
  <si>
    <t>G5</t>
  </si>
  <si>
    <t>I5</t>
  </si>
  <si>
    <t>G6</t>
  </si>
  <si>
    <t>I6</t>
  </si>
  <si>
    <t>G7</t>
  </si>
  <si>
    <t>I7</t>
  </si>
  <si>
    <t>G8</t>
  </si>
  <si>
    <t>I8</t>
  </si>
  <si>
    <t>G9</t>
  </si>
  <si>
    <t>I9</t>
  </si>
  <si>
    <t>R4</t>
  </si>
  <si>
    <t>T4</t>
  </si>
  <si>
    <t>R5</t>
  </si>
  <si>
    <t>T5</t>
  </si>
  <si>
    <t>R6</t>
  </si>
  <si>
    <t>T6</t>
  </si>
  <si>
    <t>R7</t>
  </si>
  <si>
    <t>T7</t>
  </si>
  <si>
    <t>R8</t>
  </si>
  <si>
    <t>T8</t>
  </si>
  <si>
    <t>R9</t>
  </si>
  <si>
    <t>T9</t>
  </si>
  <si>
    <t>AC4</t>
  </si>
  <si>
    <t>AE4</t>
  </si>
  <si>
    <t>AC5</t>
  </si>
  <si>
    <t>AE5</t>
  </si>
  <si>
    <t>AC6</t>
  </si>
  <si>
    <t>AE6</t>
  </si>
  <si>
    <t>AC7</t>
  </si>
  <si>
    <t>AE7</t>
  </si>
  <si>
    <t>AC8</t>
  </si>
  <si>
    <t>AE8</t>
  </si>
  <si>
    <t>AC9</t>
  </si>
  <si>
    <t>AE9</t>
  </si>
  <si>
    <t>G21</t>
  </si>
  <si>
    <t>I21</t>
  </si>
  <si>
    <t>G22</t>
  </si>
  <si>
    <t>I22</t>
  </si>
  <si>
    <t>G23</t>
  </si>
  <si>
    <t>I23</t>
  </si>
  <si>
    <t>G24</t>
  </si>
  <si>
    <t>I24</t>
  </si>
  <si>
    <t>G25</t>
  </si>
  <si>
    <t>I25</t>
  </si>
  <si>
    <t>G26</t>
  </si>
  <si>
    <t>I26</t>
  </si>
  <si>
    <t>R21</t>
  </si>
  <si>
    <t>T21</t>
  </si>
  <si>
    <t>R22</t>
  </si>
  <si>
    <t>T22</t>
  </si>
  <si>
    <t>R23</t>
  </si>
  <si>
    <t>T23</t>
  </si>
  <si>
    <t>R24</t>
  </si>
  <si>
    <t>T24</t>
  </si>
  <si>
    <t>R25</t>
  </si>
  <si>
    <t>T25</t>
  </si>
  <si>
    <t>R26</t>
  </si>
  <si>
    <t>T26</t>
  </si>
  <si>
    <t>AC21</t>
  </si>
  <si>
    <t>AE21</t>
  </si>
  <si>
    <t>AC22</t>
  </si>
  <si>
    <t>AE22</t>
  </si>
  <si>
    <t>AC23</t>
  </si>
  <si>
    <t>AE23</t>
  </si>
  <si>
    <t>AC24</t>
  </si>
  <si>
    <t>AE24</t>
  </si>
  <si>
    <t>AC25</t>
  </si>
  <si>
    <t>AE25</t>
  </si>
  <si>
    <t>AC26</t>
  </si>
  <si>
    <t>AE26</t>
  </si>
  <si>
    <t>G38</t>
  </si>
  <si>
    <t>I38</t>
  </si>
  <si>
    <t>G39</t>
  </si>
  <si>
    <t>I39</t>
  </si>
  <si>
    <t>G40</t>
  </si>
  <si>
    <t>I40</t>
  </si>
  <si>
    <t>G41</t>
  </si>
  <si>
    <t>I41</t>
  </si>
  <si>
    <t>G42</t>
  </si>
  <si>
    <t>I42</t>
  </si>
  <si>
    <t>G43</t>
  </si>
  <si>
    <t>I43</t>
  </si>
  <si>
    <t>R38</t>
  </si>
  <si>
    <t>T38</t>
  </si>
  <si>
    <t>R39</t>
  </si>
  <si>
    <t>T39</t>
  </si>
  <si>
    <t>R40</t>
  </si>
  <si>
    <t>T40</t>
  </si>
  <si>
    <t>R41</t>
  </si>
  <si>
    <t>T41</t>
  </si>
  <si>
    <t>R42</t>
  </si>
  <si>
    <t>T42</t>
  </si>
  <si>
    <t>R43</t>
  </si>
  <si>
    <t>T43</t>
  </si>
  <si>
    <t>AC38</t>
  </si>
  <si>
    <t>AE38</t>
  </si>
  <si>
    <t>AC39</t>
  </si>
  <si>
    <t>AE39</t>
  </si>
  <si>
    <t>AC40</t>
  </si>
  <si>
    <t>AE40</t>
  </si>
  <si>
    <t>AC41</t>
  </si>
  <si>
    <t>AE41</t>
  </si>
  <si>
    <t>AC42</t>
  </si>
  <si>
    <t>AE42</t>
  </si>
  <si>
    <t>AC43</t>
  </si>
  <si>
    <t>AE43</t>
  </si>
  <si>
    <t>G55</t>
  </si>
  <si>
    <t>I55</t>
  </si>
  <si>
    <t>G56</t>
  </si>
  <si>
    <t>I56</t>
  </si>
  <si>
    <t>G57</t>
  </si>
  <si>
    <t>I57</t>
  </si>
  <si>
    <t>G58</t>
  </si>
  <si>
    <t>I58</t>
  </si>
  <si>
    <t>G59</t>
  </si>
  <si>
    <t>I59</t>
  </si>
  <si>
    <t>G60</t>
  </si>
  <si>
    <t>I60</t>
  </si>
  <si>
    <t>R55</t>
  </si>
  <si>
    <t>T55</t>
  </si>
  <si>
    <t>R56</t>
  </si>
  <si>
    <t>T56</t>
  </si>
  <si>
    <t>R57</t>
  </si>
  <si>
    <t>T57</t>
  </si>
  <si>
    <t>R58</t>
  </si>
  <si>
    <t>T58</t>
  </si>
  <si>
    <t>R59</t>
  </si>
  <si>
    <t>T59</t>
  </si>
  <si>
    <t>R60</t>
  </si>
  <si>
    <t>T60</t>
  </si>
  <si>
    <t>AC55</t>
  </si>
  <si>
    <t>AE55</t>
  </si>
  <si>
    <t>AC56</t>
  </si>
  <si>
    <t>AE56</t>
  </si>
  <si>
    <t>AC57</t>
  </si>
  <si>
    <t>AE57</t>
  </si>
  <si>
    <t>AC58</t>
  </si>
  <si>
    <t>AE58</t>
  </si>
  <si>
    <t>AC59</t>
  </si>
  <si>
    <t>AE59</t>
  </si>
  <si>
    <t>AC60</t>
  </si>
  <si>
    <t>AE60</t>
  </si>
  <si>
    <t>Eliminatorias</t>
  </si>
  <si>
    <t>L5</t>
  </si>
  <si>
    <t>L6</t>
  </si>
  <si>
    <t>L7</t>
  </si>
  <si>
    <t>L8</t>
  </si>
  <si>
    <t>L9</t>
  </si>
  <si>
    <t>G10</t>
  </si>
  <si>
    <t>I10</t>
  </si>
  <si>
    <t>L10</t>
  </si>
  <si>
    <t>G11</t>
  </si>
  <si>
    <t>I11</t>
  </si>
  <si>
    <t>L11</t>
  </si>
  <si>
    <t>G12</t>
  </si>
  <si>
    <t>I12</t>
  </si>
  <si>
    <t>L12</t>
  </si>
  <si>
    <t>G13</t>
  </si>
  <si>
    <t>I13</t>
  </si>
  <si>
    <t>L13</t>
  </si>
  <si>
    <t>G14</t>
  </si>
  <si>
    <t>I14</t>
  </si>
  <si>
    <t>L14</t>
  </si>
  <si>
    <t>G15</t>
  </si>
  <si>
    <t>I15</t>
  </si>
  <si>
    <t>L15</t>
  </si>
  <si>
    <t>G16</t>
  </si>
  <si>
    <t>I16</t>
  </si>
  <si>
    <t>L16</t>
  </si>
  <si>
    <t>G17</t>
  </si>
  <si>
    <t>I17</t>
  </si>
  <si>
    <t>L17</t>
  </si>
  <si>
    <t>G18</t>
  </si>
  <si>
    <t>I18</t>
  </si>
  <si>
    <t>L18</t>
  </si>
  <si>
    <t>G19</t>
  </si>
  <si>
    <t>I19</t>
  </si>
  <si>
    <t>L19</t>
  </si>
  <si>
    <t>G20</t>
  </si>
  <si>
    <t>I20</t>
  </si>
  <si>
    <t>L20</t>
  </si>
  <si>
    <t>L25</t>
  </si>
  <si>
    <t>L26</t>
  </si>
  <si>
    <t>G27</t>
  </si>
  <si>
    <t>I27</t>
  </si>
  <si>
    <t>L27</t>
  </si>
  <si>
    <t>G28</t>
  </si>
  <si>
    <t>I28</t>
  </si>
  <si>
    <t>L28</t>
  </si>
  <si>
    <t>G29</t>
  </si>
  <si>
    <t>I29</t>
  </si>
  <si>
    <t>L29</t>
  </si>
  <si>
    <t>G30</t>
  </si>
  <si>
    <t>I30</t>
  </si>
  <si>
    <t>L30</t>
  </si>
  <si>
    <t>G31</t>
  </si>
  <si>
    <t>I31</t>
  </si>
  <si>
    <t>L31</t>
  </si>
  <si>
    <t>G32</t>
  </si>
  <si>
    <t>I32</t>
  </si>
  <si>
    <t>L32</t>
  </si>
  <si>
    <t>G37</t>
  </si>
  <si>
    <t>I37</t>
  </si>
  <si>
    <t>L37</t>
  </si>
  <si>
    <t>L38</t>
  </si>
  <si>
    <t>L39</t>
  </si>
  <si>
    <t>L40</t>
  </si>
  <si>
    <t>G45</t>
  </si>
  <si>
    <t>I45</t>
  </si>
  <si>
    <t>L45</t>
  </si>
  <si>
    <t>G46</t>
  </si>
  <si>
    <t>I46</t>
  </si>
  <si>
    <t>L46</t>
  </si>
  <si>
    <t>G51</t>
  </si>
  <si>
    <t>I51</t>
  </si>
  <si>
    <t>L51</t>
  </si>
  <si>
    <t>L56</t>
  </si>
  <si>
    <t>TOP_SCORER</t>
  </si>
  <si>
    <t>Premios</t>
  </si>
  <si>
    <t>C4</t>
  </si>
  <si>
    <t>D4</t>
  </si>
  <si>
    <t>MVP</t>
  </si>
  <si>
    <t>C5</t>
  </si>
  <si>
    <t>D5</t>
  </si>
  <si>
    <t>★ SISTEMA DE PUNTOS Y REGLAS ★</t>
  </si>
  <si>
    <t>Categoría / Fase</t>
  </si>
  <si>
    <t>Concepto</t>
  </si>
  <si>
    <t>Puntos</t>
  </si>
  <si>
    <t>Descripción / Ejemplo</t>
  </si>
  <si>
    <t>Fase de Grupos (Marcador)</t>
  </si>
  <si>
    <t>Resultado Exacto</t>
  </si>
  <si>
    <t>+5</t>
  </si>
  <si>
    <t>Aciertas el marcador final exacto (ej. Pronóstico 2-1, Resultado 2-1).</t>
  </si>
  <si>
    <t>Diferencia de Goles</t>
  </si>
  <si>
    <t>+3</t>
  </si>
  <si>
    <t>Aciertas el ganador y la diferencia de goles exacta, pero no el marcador (ej. Pronóstico 3-1, Resultado 2-0).</t>
  </si>
  <si>
    <t>Signo / Ganador</t>
  </si>
  <si>
    <t>+2</t>
  </si>
  <si>
    <t>Aciertas el ganador o empate, pero no la diferencia ni el marcador (ej. Pronóstico 2-0, Resultado 5-1).</t>
  </si>
  <si>
    <t>Fallo / Sin Pronóstico</t>
  </si>
  <si>
    <t>0</t>
  </si>
  <si>
    <t>Ganador incorrecto o partido sin pronosticar.</t>
  </si>
  <si>
    <t>Eliminatorias (Progresión)</t>
  </si>
  <si>
    <t>Dieciseisavos (1/16)</t>
  </si>
  <si>
    <t>+1 / equipo</t>
  </si>
  <si>
    <t>Puntos por cada equipo real que colocaste correctamente en la ronda de Dieciseisavos.</t>
  </si>
  <si>
    <t>Octavos de Final (1/8)</t>
  </si>
  <si>
    <t>+2 / equipo</t>
  </si>
  <si>
    <t>Puntos por cada equipo real que colocaste correctamente en la ronda de Octavos.</t>
  </si>
  <si>
    <t>Cuartos de Final (1/4)</t>
  </si>
  <si>
    <t>+4 / equipo</t>
  </si>
  <si>
    <t>Puntos por cada equipo real que colocaste correctamente en la ronda de Cuartos.</t>
  </si>
  <si>
    <t>Semifinales (1/2)</t>
  </si>
  <si>
    <t>+8 / equipo</t>
  </si>
  <si>
    <t>Puntos por cada equipo real que colocaste correctamente en la ronda de Semifinales.</t>
  </si>
  <si>
    <t>Final (Finalistas)</t>
  </si>
  <si>
    <t>+16 / equipo</t>
  </si>
  <si>
    <t>Puntos por cada equipo real que colocaste correctamente en la gran Final.</t>
  </si>
  <si>
    <t>Campeón del Mundo</t>
  </si>
  <si>
    <t>+32</t>
  </si>
  <si>
    <t>Puntos adicionales por acertar la selección campeona absoluta del torneo.</t>
  </si>
  <si>
    <t>Premios Individuales</t>
  </si>
  <si>
    <t>Máximo Goleador</t>
  </si>
  <si>
    <t>+15</t>
  </si>
  <si>
    <t>Puntos por acertar el goleador oficial del torneo (Pichichi).</t>
  </si>
  <si>
    <t>MVP del Campeonato</t>
  </si>
  <si>
    <t>Puntos por acertar el mejor jugador (MVP) oficial del torneo.</t>
  </si>
  <si>
    <t>★ La puntuación de eliminatorias se calcula dinámicamente según la progresión real de los equipos, no por IDs fijos de partido.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</si>
</sst>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color rgb="1A1933"/>
      <sz val="8"/>
    </font>
    <font>
      <color rgb="7A6F54"/>
      <sz val="7"/>
    </font>
    <font>
      <color rgb="7A6F54"/>
      <sz val="8"/>
    </font>
    <font>
      <sz val="8"/>
    </font>
    <font>
      <sz val="9"/>
    </font>
    <font>
      <b/>
      <sz val="10"/>
    </font>
    <font>
      <b/>
      <color rgb="FFFFFF"/>
      <sz val="9"/>
    </font>
    <font>
      <b/>
      <sz val="8"/>
    </font>
    <font>
      <b/>
      <color rgb="C41E2C"/>
      <sz val="9"/>
    </font>
    <font>
      <b/>
      <color rgb="C41E2C"/>
      <sz val="11"/>
    </font>
    <font>
      <color rgb="7A6F54"/>
      <sz val="9"/>
    </font>
    <font>
      <b/>
      <color rgb="1A1933"/>
      <sz val="16"/>
    </font>
    <font>
      <b/>
      <color rgb="FFFFFF"/>
      <sz val="11"/>
    </font>
    <font>
      <b/>
      <color rgb="FFFFFF"/>
      <sz val="10"/>
    </font>
    <font>
      <b/>
      <color rgb="1A1933"/>
      <sz val="10"/>
    </font>
    <font>
      <i/>
      <color rgb="7A6F54"/>
      <sz val="9"/>
    </font>
    <font>
      <b/>
      <color rgb="FFFFFF"/>
      <sz val="14"/>
    </font>
    <font>
      <b/>
      <sz val="9"/>
    </font>
    <font>
      <b/>
      <color rgb="C41E2C"/>
      <sz val="10"/>
    </font>
  </fonts>
  <fills count="12">
    <fill>
      <patternFill patternType="none"/>
    </fill>
    <fill>
      <patternFill patternType="gray125"/>
    </fill>
    <fill>
      <patternFill patternType="solid">
        <fgColor rgb="E8541F"/>
      </patternFill>
    </fill>
    <fill>
      <patternFill patternType="solid">
        <fgColor rgb="E6D6B1"/>
      </patternFill>
    </fill>
    <fill>
      <patternFill patternType="solid">
        <fgColor rgb="22418C"/>
      </patternFill>
    </fill>
    <fill>
      <patternFill patternType="solid">
        <fgColor rgb="1F6B3A"/>
      </patternFill>
    </fill>
    <fill>
      <patternFill patternType="solid">
        <fgColor rgb="FFF9EC"/>
      </patternFill>
    </fill>
    <fill>
      <patternFill patternType="solid">
        <fgColor rgb="F0B021"/>
      </patternFill>
    </fill>
    <fill>
      <patternFill patternType="solid">
        <fgColor rgb="F0EADA"/>
      </patternFill>
    </fill>
    <fill>
      <patternFill patternType="solid">
        <fgColor rgb="FEF0F0"/>
      </patternFill>
    </fill>
    <fill>
      <patternFill patternType="solid">
        <fgColor rgb="C41E2C"/>
      </patternFill>
    </fill>
    <fill>
      <patternFill patternType="solid">
        <fgColor rgb="1A1933"/>
      </patternFill>
    </fill>
  </fills>
  <borders count="14">
    <border>
      <left/>
      <right/>
      <top/>
      <bottom/>
      <diagonal/>
    </border>
    <border>
      <left style="thick">
        <color rgb="1A1933"/>
      </left>
      <right/>
      <top style="thick">
        <color rgb="1A1933"/>
      </top>
      <bottom/>
      <diagonal/>
    </border>
    <border>
      <left/>
      <right style="thick">
        <color rgb="1A1933"/>
      </right>
      <top style="thick">
        <color rgb="1A1933"/>
      </top>
      <bottom/>
      <diagonal/>
    </border>
    <border>
      <left style="thick">
        <color rgb="1A1933"/>
      </left>
      <right/>
      <top/>
      <bottom style="thin">
        <color rgb="1A1933"/>
      </bottom>
      <diagonal/>
    </border>
    <border>
      <left/>
      <right/>
      <top/>
      <bottom style="thin">
        <color rgb="1A1933"/>
      </bottom>
      <diagonal/>
    </border>
    <border>
      <left/>
      <right style="thick">
        <color rgb="1A1933"/>
      </right>
      <top/>
      <bottom style="thin">
        <color rgb="1A1933"/>
      </bottom>
      <diagonal/>
    </border>
    <border>
      <left style="thick">
        <color rgb="1A1933"/>
      </left>
      <right/>
      <top/>
      <bottom/>
      <diagonal/>
    </border>
    <border>
      <left style="thin">
        <color rgb="1A1933"/>
      </left>
      <right style="thin">
        <color rgb="1A1933"/>
      </right>
      <top style="thin">
        <color rgb="1A1933"/>
      </top>
      <bottom style="thin">
        <color rgb="1A1933"/>
      </bottom>
      <diagonal/>
    </border>
    <border>
      <left/>
      <right style="thick">
        <color rgb="1A1933"/>
      </right>
      <top/>
      <bottom/>
      <diagonal/>
    </border>
    <border>
      <left style="thick">
        <color rgb="1A1933"/>
      </left>
      <right style="thick">
        <color rgb="1A1933"/>
      </right>
      <top/>
      <bottom/>
      <diagonal/>
    </border>
    <border>
      <left style="medium">
        <color rgb="C41E2C"/>
      </left>
      <right/>
      <top/>
      <bottom/>
      <diagonal/>
    </border>
    <border>
      <left style="thick">
        <color rgb="1A1933"/>
      </left>
      <right/>
      <top/>
      <bottom style="thick">
        <color rgb="1A1933"/>
      </bottom>
      <diagonal/>
    </border>
    <border>
      <left/>
      <right/>
      <top/>
      <bottom style="thick">
        <color rgb="1A1933"/>
      </bottom>
      <diagonal/>
    </border>
    <border>
      <left/>
      <right style="thick">
        <color rgb="1A1933"/>
      </right>
      <top/>
      <bottom style="thick">
        <color rgb="1A1933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right" vertical="center"/>
    </xf>
    <xf numFmtId="0" fontId="0" fillId="6" borderId="0" xfId="0" applyFill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0" fontId="6" fillId="8" borderId="8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/>
    </xf>
    <xf numFmtId="0" fontId="13" fillId="0" borderId="0" xfId="0" applyFont="1"/>
    <xf numFmtId="0" fontId="14" fillId="2" borderId="0" xfId="0" applyFont="1" applyFill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right" vertical="center"/>
    </xf>
    <xf numFmtId="0" fontId="17" fillId="0" borderId="0" xfId="0" applyFont="1"/>
    <xf numFmtId="0" fontId="18" fillId="11" borderId="0" xfId="0" applyFont="1" applyFill="1" applyAlignment="1">
      <alignment horizontal="center" vertical="center"/>
    </xf>
    <xf numFmtId="0" fontId="15" fillId="11" borderId="7" xfId="0" applyFont="1" applyFill="1" applyBorder="1" applyAlignment="1">
      <alignment horizontal="center" vertical="center" wrapText="1"/>
    </xf>
    <xf numFmtId="0" fontId="19" fillId="6" borderId="7" xfId="0" applyFont="1" applyFill="1" applyBorder="1"/>
    <xf numFmtId="0" fontId="20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/>
    </xf>
    <xf numFmtId="0" fontId="19" fillId="3" borderId="7" xfId="0" applyFont="1" applyFill="1" applyBorder="1"/>
    <xf numFmtId="0" fontId="20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1.png"/><Relationship Id="rId9" Type="http://schemas.openxmlformats.org/officeDocument/2006/relationships/image" Target="../media/image6.png"/><Relationship Id="rId10" Type="http://schemas.openxmlformats.org/officeDocument/2006/relationships/image" Target="../media/image4.png"/><Relationship Id="rId11" Type="http://schemas.openxmlformats.org/officeDocument/2006/relationships/image" Target="../media/image2.png"/><Relationship Id="rId12" Type="http://schemas.openxmlformats.org/officeDocument/2006/relationships/image" Target="../media/image1.png"/><Relationship Id="rId13" Type="http://schemas.openxmlformats.org/officeDocument/2006/relationships/image" Target="../media/image3.png"/><Relationship Id="rId14" Type="http://schemas.openxmlformats.org/officeDocument/2006/relationships/image" Target="../media/image5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5.png"/><Relationship Id="rId18" Type="http://schemas.openxmlformats.org/officeDocument/2006/relationships/image" Target="../media/image3.png"/><Relationship Id="rId19" Type="http://schemas.openxmlformats.org/officeDocument/2006/relationships/image" Target="../media/image15.png"/><Relationship Id="rId20" Type="http://schemas.openxmlformats.org/officeDocument/2006/relationships/image" Target="../media/image16.png"/><Relationship Id="rId21" Type="http://schemas.openxmlformats.org/officeDocument/2006/relationships/image" Target="../media/image3.png"/><Relationship Id="rId22" Type="http://schemas.openxmlformats.org/officeDocument/2006/relationships/image" Target="../media/image5.png"/><Relationship Id="rId23" Type="http://schemas.openxmlformats.org/officeDocument/2006/relationships/image" Target="../media/image15.png"/><Relationship Id="rId24" Type="http://schemas.openxmlformats.org/officeDocument/2006/relationships/image" Target="../media/image13.png"/><Relationship Id="rId25" Type="http://schemas.openxmlformats.org/officeDocument/2006/relationships/image" Target="../media/image10.png"/><Relationship Id="rId26" Type="http://schemas.openxmlformats.org/officeDocument/2006/relationships/image" Target="../media/image12.png"/><Relationship Id="rId27" Type="http://schemas.openxmlformats.org/officeDocument/2006/relationships/image" Target="../media/image14.png"/><Relationship Id="rId28" Type="http://schemas.openxmlformats.org/officeDocument/2006/relationships/image" Target="../media/image12.png"/><Relationship Id="rId29" Type="http://schemas.openxmlformats.org/officeDocument/2006/relationships/image" Target="../media/image13.png"/><Relationship Id="rId30" Type="http://schemas.openxmlformats.org/officeDocument/2006/relationships/image" Target="../media/image10.png"/><Relationship Id="rId31" Type="http://schemas.openxmlformats.org/officeDocument/2006/relationships/image" Target="../media/image14.png"/><Relationship Id="rId32" Type="http://schemas.openxmlformats.org/officeDocument/2006/relationships/image" Target="../media/image10.png"/><Relationship Id="rId33" Type="http://schemas.openxmlformats.org/officeDocument/2006/relationships/image" Target="../media/image12.png"/><Relationship Id="rId34" Type="http://schemas.openxmlformats.org/officeDocument/2006/relationships/image" Target="../media/image14.png"/><Relationship Id="rId35" Type="http://schemas.openxmlformats.org/officeDocument/2006/relationships/image" Target="../media/image13.png"/><Relationship Id="rId36" Type="http://schemas.openxmlformats.org/officeDocument/2006/relationships/image" Target="../media/image7.png"/><Relationship Id="rId37" Type="http://schemas.openxmlformats.org/officeDocument/2006/relationships/image" Target="../media/image8.png"/><Relationship Id="rId38" Type="http://schemas.openxmlformats.org/officeDocument/2006/relationships/image" Target="../media/image9.png"/><Relationship Id="rId39" Type="http://schemas.openxmlformats.org/officeDocument/2006/relationships/image" Target="../media/image11.png"/><Relationship Id="rId40" Type="http://schemas.openxmlformats.org/officeDocument/2006/relationships/image" Target="../media/image8.png"/><Relationship Id="rId41" Type="http://schemas.openxmlformats.org/officeDocument/2006/relationships/image" Target="../media/image7.png"/><Relationship Id="rId42" Type="http://schemas.openxmlformats.org/officeDocument/2006/relationships/image" Target="../media/image9.png"/><Relationship Id="rId43" Type="http://schemas.openxmlformats.org/officeDocument/2006/relationships/image" Target="../media/image11.png"/><Relationship Id="rId44" Type="http://schemas.openxmlformats.org/officeDocument/2006/relationships/image" Target="../media/image7.png"/><Relationship Id="rId45" Type="http://schemas.openxmlformats.org/officeDocument/2006/relationships/image" Target="../media/image8.png"/><Relationship Id="rId46" Type="http://schemas.openxmlformats.org/officeDocument/2006/relationships/image" Target="../media/image9.png"/><Relationship Id="rId47" Type="http://schemas.openxmlformats.org/officeDocument/2006/relationships/image" Target="../media/image17.png"/><Relationship Id="rId48" Type="http://schemas.openxmlformats.org/officeDocument/2006/relationships/image" Target="../media/image18.png"/><Relationship Id="rId49" Type="http://schemas.openxmlformats.org/officeDocument/2006/relationships/image" Target="../media/image19.png"/><Relationship Id="rId50" Type="http://schemas.openxmlformats.org/officeDocument/2006/relationships/image" Target="../media/image20.png"/><Relationship Id="rId51" Type="http://schemas.openxmlformats.org/officeDocument/2006/relationships/image" Target="../media/image19.png"/><Relationship Id="rId52" Type="http://schemas.openxmlformats.org/officeDocument/2006/relationships/image" Target="../media/image17.png"/><Relationship Id="rId53" Type="http://schemas.openxmlformats.org/officeDocument/2006/relationships/image" Target="../media/image18.png"/><Relationship Id="rId54" Type="http://schemas.openxmlformats.org/officeDocument/2006/relationships/image" Target="../media/image20.png"/><Relationship Id="rId55" Type="http://schemas.openxmlformats.org/officeDocument/2006/relationships/image" Target="../media/image17.png"/><Relationship Id="rId56" Type="http://schemas.openxmlformats.org/officeDocument/2006/relationships/image" Target="../media/image18.png"/><Relationship Id="rId57" Type="http://schemas.openxmlformats.org/officeDocument/2006/relationships/image" Target="../media/image19.png"/><Relationship Id="rId58" Type="http://schemas.openxmlformats.org/officeDocument/2006/relationships/image" Target="../media/image21.png"/><Relationship Id="rId59" Type="http://schemas.openxmlformats.org/officeDocument/2006/relationships/image" Target="../media/image22.png"/><Relationship Id="rId60" Type="http://schemas.openxmlformats.org/officeDocument/2006/relationships/image" Target="../media/image23.png"/><Relationship Id="rId61" Type="http://schemas.openxmlformats.org/officeDocument/2006/relationships/image" Target="../media/image24.png"/><Relationship Id="rId62" Type="http://schemas.openxmlformats.org/officeDocument/2006/relationships/image" Target="../media/image21.png"/><Relationship Id="rId63" Type="http://schemas.openxmlformats.org/officeDocument/2006/relationships/image" Target="../media/image23.png"/><Relationship Id="rId64" Type="http://schemas.openxmlformats.org/officeDocument/2006/relationships/image" Target="../media/image24.png"/><Relationship Id="rId65" Type="http://schemas.openxmlformats.org/officeDocument/2006/relationships/image" Target="../media/image22.png"/><Relationship Id="rId66" Type="http://schemas.openxmlformats.org/officeDocument/2006/relationships/image" Target="../media/image23.png"/><Relationship Id="rId67" Type="http://schemas.openxmlformats.org/officeDocument/2006/relationships/image" Target="../media/image24.png"/><Relationship Id="rId68" Type="http://schemas.openxmlformats.org/officeDocument/2006/relationships/image" Target="../media/image21.png"/><Relationship Id="rId69" Type="http://schemas.openxmlformats.org/officeDocument/2006/relationships/image" Target="../media/image29.png"/><Relationship Id="rId70" Type="http://schemas.openxmlformats.org/officeDocument/2006/relationships/image" Target="../media/image30.png"/><Relationship Id="rId71" Type="http://schemas.openxmlformats.org/officeDocument/2006/relationships/image" Target="../media/image31.png"/><Relationship Id="rId72" Type="http://schemas.openxmlformats.org/officeDocument/2006/relationships/image" Target="../media/image32.png"/><Relationship Id="rId73" Type="http://schemas.openxmlformats.org/officeDocument/2006/relationships/image" Target="../media/image31.png"/><Relationship Id="rId74" Type="http://schemas.openxmlformats.org/officeDocument/2006/relationships/image" Target="../media/image29.png"/><Relationship Id="rId75" Type="http://schemas.openxmlformats.org/officeDocument/2006/relationships/image" Target="../media/image30.png"/><Relationship Id="rId76" Type="http://schemas.openxmlformats.org/officeDocument/2006/relationships/image" Target="../media/image32.png"/><Relationship Id="rId77" Type="http://schemas.openxmlformats.org/officeDocument/2006/relationships/image" Target="../media/image29.png"/><Relationship Id="rId78" Type="http://schemas.openxmlformats.org/officeDocument/2006/relationships/image" Target="../media/image30.png"/><Relationship Id="rId79" Type="http://schemas.openxmlformats.org/officeDocument/2006/relationships/image" Target="../media/image31.png"/><Relationship Id="rId80" Type="http://schemas.openxmlformats.org/officeDocument/2006/relationships/image" Target="../media/image25.png"/><Relationship Id="rId81" Type="http://schemas.openxmlformats.org/officeDocument/2006/relationships/image" Target="../media/image26.png"/><Relationship Id="rId82" Type="http://schemas.openxmlformats.org/officeDocument/2006/relationships/image" Target="../media/image27.png"/><Relationship Id="rId83" Type="http://schemas.openxmlformats.org/officeDocument/2006/relationships/image" Target="../media/image28.png"/><Relationship Id="rId84" Type="http://schemas.openxmlformats.org/officeDocument/2006/relationships/image" Target="../media/image26.png"/><Relationship Id="rId85" Type="http://schemas.openxmlformats.org/officeDocument/2006/relationships/image" Target="../media/image28.png"/><Relationship Id="rId86" Type="http://schemas.openxmlformats.org/officeDocument/2006/relationships/image" Target="../media/image27.png"/><Relationship Id="rId87" Type="http://schemas.openxmlformats.org/officeDocument/2006/relationships/image" Target="../media/image25.png"/><Relationship Id="rId88" Type="http://schemas.openxmlformats.org/officeDocument/2006/relationships/image" Target="../media/image28.png"/><Relationship Id="rId89" Type="http://schemas.openxmlformats.org/officeDocument/2006/relationships/image" Target="../media/image25.png"/><Relationship Id="rId90" Type="http://schemas.openxmlformats.org/officeDocument/2006/relationships/image" Target="../media/image26.png"/><Relationship Id="rId91" Type="http://schemas.openxmlformats.org/officeDocument/2006/relationships/image" Target="../media/image27.png"/><Relationship Id="rId92" Type="http://schemas.openxmlformats.org/officeDocument/2006/relationships/image" Target="../media/image33.png"/><Relationship Id="rId93" Type="http://schemas.openxmlformats.org/officeDocument/2006/relationships/image" Target="../media/image34.png"/><Relationship Id="rId94" Type="http://schemas.openxmlformats.org/officeDocument/2006/relationships/image" Target="../media/image35.png"/><Relationship Id="rId95" Type="http://schemas.openxmlformats.org/officeDocument/2006/relationships/image" Target="../media/image36.png"/><Relationship Id="rId96" Type="http://schemas.openxmlformats.org/officeDocument/2006/relationships/image" Target="../media/image34.png"/><Relationship Id="rId97" Type="http://schemas.openxmlformats.org/officeDocument/2006/relationships/image" Target="../media/image33.png"/><Relationship Id="rId98" Type="http://schemas.openxmlformats.org/officeDocument/2006/relationships/image" Target="../media/image35.png"/><Relationship Id="rId99" Type="http://schemas.openxmlformats.org/officeDocument/2006/relationships/image" Target="../media/image36.png"/><Relationship Id="rId100" Type="http://schemas.openxmlformats.org/officeDocument/2006/relationships/image" Target="../media/image33.png"/><Relationship Id="rId101" Type="http://schemas.openxmlformats.org/officeDocument/2006/relationships/image" Target="../media/image34.png"/><Relationship Id="rId102" Type="http://schemas.openxmlformats.org/officeDocument/2006/relationships/image" Target="../media/image35.png"/><Relationship Id="rId103" Type="http://schemas.openxmlformats.org/officeDocument/2006/relationships/image" Target="../media/image37.png"/><Relationship Id="rId104" Type="http://schemas.openxmlformats.org/officeDocument/2006/relationships/image" Target="../media/image38.png"/><Relationship Id="rId105" Type="http://schemas.openxmlformats.org/officeDocument/2006/relationships/image" Target="../media/image41.png"/><Relationship Id="rId106" Type="http://schemas.openxmlformats.org/officeDocument/2006/relationships/image" Target="../media/image40.png"/><Relationship Id="rId107" Type="http://schemas.openxmlformats.org/officeDocument/2006/relationships/image" Target="../media/image37.png"/><Relationship Id="rId108" Type="http://schemas.openxmlformats.org/officeDocument/2006/relationships/image" Target="../media/image41.png"/><Relationship Id="rId109" Type="http://schemas.openxmlformats.org/officeDocument/2006/relationships/image" Target="../media/image40.png"/><Relationship Id="rId110" Type="http://schemas.openxmlformats.org/officeDocument/2006/relationships/image" Target="../media/image38.png"/><Relationship Id="rId111" Type="http://schemas.openxmlformats.org/officeDocument/2006/relationships/image" Target="../media/image41.png"/><Relationship Id="rId112" Type="http://schemas.openxmlformats.org/officeDocument/2006/relationships/image" Target="../media/image40.png"/><Relationship Id="rId113" Type="http://schemas.openxmlformats.org/officeDocument/2006/relationships/image" Target="../media/image37.png"/><Relationship Id="rId114" Type="http://schemas.openxmlformats.org/officeDocument/2006/relationships/image" Target="../media/image45.png"/><Relationship Id="rId115" Type="http://schemas.openxmlformats.org/officeDocument/2006/relationships/image" Target="../media/image46.png"/><Relationship Id="rId116" Type="http://schemas.openxmlformats.org/officeDocument/2006/relationships/image" Target="../media/image47.png"/><Relationship Id="rId117" Type="http://schemas.openxmlformats.org/officeDocument/2006/relationships/image" Target="../media/image48.png"/><Relationship Id="rId118" Type="http://schemas.openxmlformats.org/officeDocument/2006/relationships/image" Target="../media/image45.png"/><Relationship Id="rId119" Type="http://schemas.openxmlformats.org/officeDocument/2006/relationships/image" Target="../media/image47.png"/><Relationship Id="rId120" Type="http://schemas.openxmlformats.org/officeDocument/2006/relationships/image" Target="../media/image48.png"/><Relationship Id="rId121" Type="http://schemas.openxmlformats.org/officeDocument/2006/relationships/image" Target="../media/image46.png"/><Relationship Id="rId122" Type="http://schemas.openxmlformats.org/officeDocument/2006/relationships/image" Target="../media/image48.png"/><Relationship Id="rId123" Type="http://schemas.openxmlformats.org/officeDocument/2006/relationships/image" Target="../media/image45.png"/><Relationship Id="rId124" Type="http://schemas.openxmlformats.org/officeDocument/2006/relationships/image" Target="../media/image46.png"/><Relationship Id="rId125" Type="http://schemas.openxmlformats.org/officeDocument/2006/relationships/image" Target="../media/image47.png"/><Relationship Id="rId126" Type="http://schemas.openxmlformats.org/officeDocument/2006/relationships/image" Target="../media/image39.png"/><Relationship Id="rId127" Type="http://schemas.openxmlformats.org/officeDocument/2006/relationships/image" Target="../media/image44.png"/><Relationship Id="rId128" Type="http://schemas.openxmlformats.org/officeDocument/2006/relationships/image" Target="../media/image42.png"/><Relationship Id="rId129" Type="http://schemas.openxmlformats.org/officeDocument/2006/relationships/image" Target="../media/image43.png"/><Relationship Id="rId130" Type="http://schemas.openxmlformats.org/officeDocument/2006/relationships/image" Target="../media/image42.png"/><Relationship Id="rId131" Type="http://schemas.openxmlformats.org/officeDocument/2006/relationships/image" Target="../media/image39.png"/><Relationship Id="rId132" Type="http://schemas.openxmlformats.org/officeDocument/2006/relationships/image" Target="../media/image44.png"/><Relationship Id="rId133" Type="http://schemas.openxmlformats.org/officeDocument/2006/relationships/image" Target="../media/image43.png"/><Relationship Id="rId134" Type="http://schemas.openxmlformats.org/officeDocument/2006/relationships/image" Target="../media/image44.png"/><Relationship Id="rId135" Type="http://schemas.openxmlformats.org/officeDocument/2006/relationships/image" Target="../media/image42.png"/><Relationship Id="rId136" Type="http://schemas.openxmlformats.org/officeDocument/2006/relationships/image" Target="../media/image43.png"/><Relationship Id="rId137" Type="http://schemas.openxmlformats.org/officeDocument/2006/relationships/image" Target="../media/image3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Relationship Id="rId3" Type="http://schemas.openxmlformats.org/officeDocument/2006/relationships/image" Target="../media/image33.png"/><Relationship Id="rId4" Type="http://schemas.openxmlformats.org/officeDocument/2006/relationships/image" Target="../media/image10.png"/><Relationship Id="rId5" Type="http://schemas.openxmlformats.org/officeDocument/2006/relationships/image" Target="../media/image1.png"/><Relationship Id="rId6" Type="http://schemas.openxmlformats.org/officeDocument/2006/relationships/image" Target="../media/image16.png"/><Relationship Id="rId7" Type="http://schemas.openxmlformats.org/officeDocument/2006/relationships/image" Target="../media/image21.png"/><Relationship Id="rId8" Type="http://schemas.openxmlformats.org/officeDocument/2006/relationships/image" Target="../media/image14.png"/><Relationship Id="rId9" Type="http://schemas.openxmlformats.org/officeDocument/2006/relationships/image" Target="../media/image48.png"/><Relationship Id="rId10" Type="http://schemas.openxmlformats.org/officeDocument/2006/relationships/image" Target="../media/image43.png"/><Relationship Id="rId11" Type="http://schemas.openxmlformats.org/officeDocument/2006/relationships/image" Target="../media/image27.png"/><Relationship Id="rId12" Type="http://schemas.openxmlformats.org/officeDocument/2006/relationships/image" Target="../media/image41.png"/><Relationship Id="rId13" Type="http://schemas.openxmlformats.org/officeDocument/2006/relationships/image" Target="../media/image7.png"/><Relationship Id="rId14" Type="http://schemas.openxmlformats.org/officeDocument/2006/relationships/image" Target="../media/image17.png"/><Relationship Id="rId15" Type="http://schemas.openxmlformats.org/officeDocument/2006/relationships/image" Target="../media/image31.png"/><Relationship Id="rId16" Type="http://schemas.openxmlformats.org/officeDocument/2006/relationships/image" Target="../media/image25.png"/><Relationship Id="rId17" Type="http://schemas.openxmlformats.org/officeDocument/2006/relationships/image" Target="../media/image12.png"/><Relationship Id="rId18" Type="http://schemas.openxmlformats.org/officeDocument/2006/relationships/image" Target="../media/image22.png"/><Relationship Id="rId19" Type="http://schemas.openxmlformats.org/officeDocument/2006/relationships/image" Target="../media/image20.png"/><Relationship Id="rId20" Type="http://schemas.openxmlformats.org/officeDocument/2006/relationships/image" Target="../media/image34.png"/><Relationship Id="rId21" Type="http://schemas.openxmlformats.org/officeDocument/2006/relationships/image" Target="../media/image4.png"/><Relationship Id="rId22" Type="http://schemas.openxmlformats.org/officeDocument/2006/relationships/image" Target="../media/image24.png"/><Relationship Id="rId23" Type="http://schemas.openxmlformats.org/officeDocument/2006/relationships/image" Target="../media/image42.png"/><Relationship Id="rId24" Type="http://schemas.openxmlformats.org/officeDocument/2006/relationships/image" Target="../media/image36.png"/><Relationship Id="rId25" Type="http://schemas.openxmlformats.org/officeDocument/2006/relationships/image" Target="../media/image37.png"/><Relationship Id="rId26" Type="http://schemas.openxmlformats.org/officeDocument/2006/relationships/image" Target="../media/image26.png"/><Relationship Id="rId27" Type="http://schemas.openxmlformats.org/officeDocument/2006/relationships/image" Target="../media/image8.png"/><Relationship Id="rId28" Type="http://schemas.openxmlformats.org/officeDocument/2006/relationships/image" Target="../media/image32.png"/><Relationship Id="rId29" Type="http://schemas.openxmlformats.org/officeDocument/2006/relationships/image" Target="../media/image3.png"/><Relationship Id="rId30" Type="http://schemas.openxmlformats.org/officeDocument/2006/relationships/image" Target="../media/image29.png"/><Relationship Id="rId31" Type="http://schemas.openxmlformats.org/officeDocument/2006/relationships/image" Target="../media/image45.png"/><Relationship Id="rId3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0</xdr:colOff>
      <xdr:row>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0</xdr:colOff>
      <xdr:row>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21</xdr:col>
      <xdr:colOff>0</xdr:colOff>
      <xdr:row>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17</xdr:col>
      <xdr:colOff>0</xdr:colOff>
      <xdr:row>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21</xdr:col>
      <xdr:colOff>0</xdr:colOff>
      <xdr:row>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17</xdr:col>
      <xdr:colOff>0</xdr:colOff>
      <xdr:row>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21</xdr:col>
      <xdr:colOff>0</xdr:colOff>
      <xdr:row>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17</xdr:col>
      <xdr:colOff>0</xdr:colOff>
      <xdr:row>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21</xdr:col>
      <xdr:colOff>0</xdr:colOff>
      <xdr:row>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28</xdr:col>
      <xdr:colOff>0</xdr:colOff>
      <xdr:row>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32</xdr:col>
      <xdr:colOff>0</xdr:colOff>
      <xdr:row>4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0</xdr:colOff>
      <xdr:row>5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0</xdr:colOff>
      <xdr:row>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28</xdr:col>
      <xdr:colOff>0</xdr:colOff>
      <xdr:row>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32</xdr:col>
      <xdr:colOff>0</xdr:colOff>
      <xdr:row>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28</xdr:col>
      <xdr:colOff>0</xdr:colOff>
      <xdr:row>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32</xdr:col>
      <xdr:colOff>0</xdr:colOff>
      <xdr:row>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28</xdr:col>
      <xdr:colOff>0</xdr:colOff>
      <xdr:row>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32</xdr:col>
      <xdr:colOff>0</xdr:colOff>
      <xdr:row>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0</xdr:colOff>
      <xdr:row>21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0</xdr:colOff>
      <xdr:row>22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10</xdr:col>
      <xdr:colOff>0</xdr:colOff>
      <xdr:row>22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0</xdr:colOff>
      <xdr:row>23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10</xdr:col>
      <xdr:colOff>0</xdr:colOff>
      <xdr:row>23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0</xdr:colOff>
      <xdr:row>24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10</xdr:col>
      <xdr:colOff>0</xdr:colOff>
      <xdr:row>24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10</xdr:col>
      <xdr:colOff>0</xdr:colOff>
      <xdr:row>25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0</xdr:colOff>
      <xdr:row>26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0</xdr:colOff>
      <xdr:row>26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21</xdr:col>
      <xdr:colOff>0</xdr:colOff>
      <xdr:row>21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21</xdr:col>
      <xdr:colOff>0</xdr:colOff>
      <xdr:row>22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21</xdr:col>
      <xdr:colOff>0</xdr:colOff>
      <xdr:row>23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21</xdr:col>
      <xdr:colOff>0</xdr:colOff>
      <xdr:row>24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21</xdr:col>
      <xdr:colOff>0</xdr:colOff>
      <xdr:row>25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21</xdr:col>
      <xdr:colOff>0</xdr:colOff>
      <xdr:row>26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28</xdr:col>
      <xdr:colOff>0</xdr:colOff>
      <xdr:row>21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32</xdr:col>
      <xdr:colOff>0</xdr:colOff>
      <xdr:row>21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22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32</xdr:col>
      <xdr:colOff>0</xdr:colOff>
      <xdr:row>22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23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32</xdr:col>
      <xdr:colOff>0</xdr:colOff>
      <xdr:row>23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28</xdr:col>
      <xdr:colOff>0</xdr:colOff>
      <xdr:row>24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32</xdr:col>
      <xdr:colOff>0</xdr:colOff>
      <xdr:row>24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28</xdr:col>
      <xdr:colOff>0</xdr:colOff>
      <xdr:row>25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32</xdr:col>
      <xdr:colOff>0</xdr:colOff>
      <xdr:row>25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28</xdr:col>
      <xdr:colOff>0</xdr:colOff>
      <xdr:row>26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32</xdr:col>
      <xdr:colOff>0</xdr:colOff>
      <xdr:row>26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0</xdr:colOff>
      <xdr:row>38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10</xdr:col>
      <xdr:colOff>0</xdr:colOff>
      <xdr:row>38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0</xdr:colOff>
      <xdr:row>39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10</xdr:col>
      <xdr:colOff>0</xdr:colOff>
      <xdr:row>39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0</xdr:colOff>
      <xdr:row>40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10</xdr:col>
      <xdr:colOff>0</xdr:colOff>
      <xdr:row>40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0</xdr:colOff>
      <xdr:row>41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10</xdr:col>
      <xdr:colOff>0</xdr:colOff>
      <xdr:row>41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0</xdr:colOff>
      <xdr:row>42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10</xdr:col>
      <xdr:colOff>0</xdr:colOff>
      <xdr:row>42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0</xdr:colOff>
      <xdr:row>43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10</xdr:col>
      <xdr:colOff>0</xdr:colOff>
      <xdr:row>43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21</xdr:col>
      <xdr:colOff>0</xdr:colOff>
      <xdr:row>38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21</xdr:col>
      <xdr:colOff>0</xdr:colOff>
      <xdr:row>39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21</xdr:col>
      <xdr:colOff>0</xdr:colOff>
      <xdr:row>40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21</xdr:col>
      <xdr:colOff>0</xdr:colOff>
      <xdr:row>41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21</xdr:col>
      <xdr:colOff>0</xdr:colOff>
      <xdr:row>42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21</xdr:col>
      <xdr:colOff>0</xdr:colOff>
      <xdr:row>43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37</xdr:row>
      <xdr:rowOff>0</xdr:rowOff>
    </xdr:from>
    <xdr:to>
      <xdr:col>28</xdr:col>
      <xdr:colOff>0</xdr:colOff>
      <xdr:row>38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37</xdr:row>
      <xdr:rowOff>0</xdr:rowOff>
    </xdr:from>
    <xdr:to>
      <xdr:col>32</xdr:col>
      <xdr:colOff>0</xdr:colOff>
      <xdr:row>38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38</xdr:row>
      <xdr:rowOff>0</xdr:rowOff>
    </xdr:from>
    <xdr:to>
      <xdr:col>28</xdr:col>
      <xdr:colOff>0</xdr:colOff>
      <xdr:row>39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38</xdr:row>
      <xdr:rowOff>0</xdr:rowOff>
    </xdr:from>
    <xdr:to>
      <xdr:col>32</xdr:col>
      <xdr:colOff>0</xdr:colOff>
      <xdr:row>39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28</xdr:col>
      <xdr:colOff>0</xdr:colOff>
      <xdr:row>40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32</xdr:col>
      <xdr:colOff>0</xdr:colOff>
      <xdr:row>40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28</xdr:col>
      <xdr:colOff>0</xdr:colOff>
      <xdr:row>41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32</xdr:col>
      <xdr:colOff>0</xdr:colOff>
      <xdr:row>41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41</xdr:row>
      <xdr:rowOff>0</xdr:rowOff>
    </xdr:from>
    <xdr:to>
      <xdr:col>28</xdr:col>
      <xdr:colOff>0</xdr:colOff>
      <xdr:row>42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41</xdr:row>
      <xdr:rowOff>0</xdr:rowOff>
    </xdr:from>
    <xdr:to>
      <xdr:col>32</xdr:col>
      <xdr:colOff>0</xdr:colOff>
      <xdr:row>42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28</xdr:col>
      <xdr:colOff>0</xdr:colOff>
      <xdr:row>43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32</xdr:col>
      <xdr:colOff>0</xdr:colOff>
      <xdr:row>43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0</xdr:colOff>
      <xdr:row>55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10</xdr:col>
      <xdr:colOff>0</xdr:colOff>
      <xdr:row>55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0</xdr:colOff>
      <xdr:row>56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10</xdr:col>
      <xdr:colOff>0</xdr:colOff>
      <xdr:row>56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0</xdr:colOff>
      <xdr:row>57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10</xdr:col>
      <xdr:colOff>0</xdr:colOff>
      <xdr:row>57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0</xdr:colOff>
      <xdr:row>58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10</xdr:col>
      <xdr:colOff>0</xdr:colOff>
      <xdr:row>58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0</xdr:colOff>
      <xdr:row>59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10</xdr:col>
      <xdr:colOff>0</xdr:colOff>
      <xdr:row>59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0</xdr:colOff>
      <xdr:row>60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10</xdr:col>
      <xdr:colOff>0</xdr:colOff>
      <xdr:row>60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17</xdr:col>
      <xdr:colOff>0</xdr:colOff>
      <xdr:row>55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21</xdr:col>
      <xdr:colOff>0</xdr:colOff>
      <xdr:row>55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</xdr:row>
      <xdr:rowOff>0</xdr:rowOff>
    </xdr:from>
    <xdr:to>
      <xdr:col>17</xdr:col>
      <xdr:colOff>0</xdr:colOff>
      <xdr:row>56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21</xdr:col>
      <xdr:colOff>0</xdr:colOff>
      <xdr:row>56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56</xdr:row>
      <xdr:rowOff>0</xdr:rowOff>
    </xdr:from>
    <xdr:to>
      <xdr:col>17</xdr:col>
      <xdr:colOff>0</xdr:colOff>
      <xdr:row>57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</xdr:row>
      <xdr:rowOff>0</xdr:rowOff>
    </xdr:from>
    <xdr:to>
      <xdr:col>21</xdr:col>
      <xdr:colOff>0</xdr:colOff>
      <xdr:row>57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57</xdr:row>
      <xdr:rowOff>0</xdr:rowOff>
    </xdr:from>
    <xdr:to>
      <xdr:col>17</xdr:col>
      <xdr:colOff>0</xdr:colOff>
      <xdr:row>58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57</xdr:row>
      <xdr:rowOff>0</xdr:rowOff>
    </xdr:from>
    <xdr:to>
      <xdr:col>21</xdr:col>
      <xdr:colOff>0</xdr:colOff>
      <xdr:row>58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58</xdr:row>
      <xdr:rowOff>0</xdr:rowOff>
    </xdr:from>
    <xdr:to>
      <xdr:col>17</xdr:col>
      <xdr:colOff>0</xdr:colOff>
      <xdr:row>59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</xdr:row>
      <xdr:rowOff>0</xdr:rowOff>
    </xdr:from>
    <xdr:to>
      <xdr:col>21</xdr:col>
      <xdr:colOff>0</xdr:colOff>
      <xdr:row>59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59</xdr:row>
      <xdr:rowOff>0</xdr:rowOff>
    </xdr:from>
    <xdr:to>
      <xdr:col>17</xdr:col>
      <xdr:colOff>0</xdr:colOff>
      <xdr:row>60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</xdr:row>
      <xdr:rowOff>0</xdr:rowOff>
    </xdr:from>
    <xdr:to>
      <xdr:col>21</xdr:col>
      <xdr:colOff>0</xdr:colOff>
      <xdr:row>60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28</xdr:col>
      <xdr:colOff>0</xdr:colOff>
      <xdr:row>55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54</xdr:row>
      <xdr:rowOff>0</xdr:rowOff>
    </xdr:from>
    <xdr:to>
      <xdr:col>32</xdr:col>
      <xdr:colOff>0</xdr:colOff>
      <xdr:row>55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55</xdr:row>
      <xdr:rowOff>0</xdr:rowOff>
    </xdr:from>
    <xdr:to>
      <xdr:col>28</xdr:col>
      <xdr:colOff>0</xdr:colOff>
      <xdr:row>56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32</xdr:col>
      <xdr:colOff>0</xdr:colOff>
      <xdr:row>56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56</xdr:row>
      <xdr:rowOff>0</xdr:rowOff>
    </xdr:from>
    <xdr:to>
      <xdr:col>28</xdr:col>
      <xdr:colOff>0</xdr:colOff>
      <xdr:row>57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56</xdr:row>
      <xdr:rowOff>0</xdr:rowOff>
    </xdr:from>
    <xdr:to>
      <xdr:col>32</xdr:col>
      <xdr:colOff>0</xdr:colOff>
      <xdr:row>57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57</xdr:row>
      <xdr:rowOff>0</xdr:rowOff>
    </xdr:from>
    <xdr:to>
      <xdr:col>28</xdr:col>
      <xdr:colOff>0</xdr:colOff>
      <xdr:row>58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57</xdr:row>
      <xdr:rowOff>0</xdr:rowOff>
    </xdr:from>
    <xdr:to>
      <xdr:col>32</xdr:col>
      <xdr:colOff>0</xdr:colOff>
      <xdr:row>58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58</xdr:row>
      <xdr:rowOff>0</xdr:rowOff>
    </xdr:from>
    <xdr:to>
      <xdr:col>28</xdr:col>
      <xdr:colOff>0</xdr:colOff>
      <xdr:row>59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58</xdr:row>
      <xdr:rowOff>0</xdr:rowOff>
    </xdr:from>
    <xdr:to>
      <xdr:col>32</xdr:col>
      <xdr:colOff>0</xdr:colOff>
      <xdr:row>59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59</xdr:row>
      <xdr:rowOff>0</xdr:rowOff>
    </xdr:from>
    <xdr:to>
      <xdr:col>28</xdr:col>
      <xdr:colOff>0</xdr:colOff>
      <xdr:row>60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59</xdr:row>
      <xdr:rowOff>0</xdr:rowOff>
    </xdr:from>
    <xdr:to>
      <xdr:col>32</xdr:col>
      <xdr:colOff>0</xdr:colOff>
      <xdr:row>60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0</xdr:colOff>
      <xdr:row>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0</xdr:colOff>
      <xdr:row>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0</xdr:colOff>
      <xdr:row>10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16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0</xdr:colOff>
      <xdr:row>17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0</xdr:colOff>
      <xdr:row>19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0</xdr:colOff>
      <xdr:row>20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66"/>
  <sheetViews>
    <sheetView workbookViewId="0" showGridLines="0"/>
  </sheetViews>
  <sheetFormatPr defaultRowHeight="18" outlineLevelRow="0" outlineLevelCol="0" x14ac:dyDescent="55" customHeight="1"/>
  <cols>
    <col min="2" max="2" width="5" customWidth="1"/>
    <col min="3" max="3" width="7" customWidth="1"/>
    <col min="4" max="4" width="10" customWidth="1"/>
    <col min="5" max="5" width="16" customWidth="1"/>
    <col min="6" max="6" width="5" customWidth="1"/>
    <col min="7" max="7" width="6" customWidth="1"/>
    <col min="8" max="8" width="3" customWidth="1"/>
    <col min="9" max="9" width="6" customWidth="1"/>
    <col min="10" max="10" width="5" customWidth="1"/>
    <col min="11" max="11" width="16" customWidth="1"/>
    <col min="12" max="12" width="2" customWidth="1"/>
    <col min="13" max="13" width="5" customWidth="1"/>
    <col min="14" max="14" width="7" customWidth="1"/>
    <col min="15" max="15" width="10" customWidth="1"/>
    <col min="16" max="16" width="16" customWidth="1"/>
    <col min="17" max="17" width="5" customWidth="1"/>
    <col min="18" max="18" width="6" customWidth="1"/>
    <col min="19" max="19" width="3" customWidth="1"/>
    <col min="20" max="20" width="6" customWidth="1"/>
    <col min="21" max="21" width="5" customWidth="1"/>
    <col min="22" max="22" width="16" customWidth="1"/>
    <col min="23" max="23" width="2" customWidth="1"/>
    <col min="24" max="24" width="5" customWidth="1"/>
    <col min="25" max="25" width="7" customWidth="1"/>
    <col min="26" max="26" width="10" customWidth="1"/>
    <col min="27" max="27" width="16" customWidth="1"/>
    <col min="28" max="28" width="5" customWidth="1"/>
    <col min="29" max="29" width="6" customWidth="1"/>
    <col min="30" max="30" width="3" customWidth="1"/>
    <col min="31" max="31" width="6" customWidth="1"/>
    <col min="32" max="32" width="5" customWidth="1"/>
    <col min="33" max="33" width="16" customWidth="1"/>
  </cols>
  <sheetData>
    <row r="2" spans="2:33" x14ac:dyDescent="0.25">
      <c r="B2" s="1" t="s">
        <v>0</v>
      </c>
      <c r="C2" s="1"/>
      <c r="D2" s="1"/>
      <c r="E2" s="1"/>
      <c r="F2" s="1"/>
      <c r="G2" s="1"/>
      <c r="H2" s="1"/>
      <c r="I2" s="2">
        <f>COUNTA($G$4:$G$9)&amp;"/6"</f>
      </c>
      <c r="J2" s="2"/>
      <c r="K2" s="2"/>
      <c r="M2" s="3" t="s">
        <v>1</v>
      </c>
      <c r="N2" s="3"/>
      <c r="O2" s="3"/>
      <c r="P2" s="3"/>
      <c r="Q2" s="3"/>
      <c r="R2" s="3"/>
      <c r="S2" s="3"/>
      <c r="T2" s="2">
        <f>COUNTA($R$4:$R$9)&amp;"/6"</f>
      </c>
      <c r="U2" s="2"/>
      <c r="V2" s="2"/>
      <c r="X2" s="4" t="s">
        <v>2</v>
      </c>
      <c r="Y2" s="4"/>
      <c r="Z2" s="4"/>
      <c r="AA2" s="4"/>
      <c r="AB2" s="4"/>
      <c r="AC2" s="4"/>
      <c r="AD2" s="4"/>
      <c r="AE2" s="2">
        <f>COUNTA($AC$4:$AC$9)&amp;"/6"</f>
      </c>
      <c r="AF2" s="2"/>
      <c r="AG2" s="2"/>
    </row>
    <row r="3" spans="2:33" x14ac:dyDescent="0.25"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7</v>
      </c>
      <c r="K3" s="7" t="s">
        <v>11</v>
      </c>
      <c r="M3" s="5" t="s">
        <v>3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 t="s">
        <v>7</v>
      </c>
      <c r="V3" s="7" t="s">
        <v>11</v>
      </c>
      <c r="X3" s="5" t="s">
        <v>3</v>
      </c>
      <c r="Y3" s="6" t="s">
        <v>4</v>
      </c>
      <c r="Z3" s="6" t="s">
        <v>5</v>
      </c>
      <c r="AA3" s="6" t="s">
        <v>6</v>
      </c>
      <c r="AB3" s="6" t="s">
        <v>7</v>
      </c>
      <c r="AC3" s="6" t="s">
        <v>8</v>
      </c>
      <c r="AD3" s="6" t="s">
        <v>9</v>
      </c>
      <c r="AE3" s="6" t="s">
        <v>10</v>
      </c>
      <c r="AF3" s="6" t="s">
        <v>7</v>
      </c>
      <c r="AG3" s="7" t="s">
        <v>11</v>
      </c>
    </row>
    <row r="4" spans="2:33" x14ac:dyDescent="0.25">
      <c r="B4" s="8" t="s">
        <v>12</v>
      </c>
      <c r="C4" s="9">
        <v>1</v>
      </c>
      <c r="D4" s="10" t="s">
        <v>13</v>
      </c>
      <c r="E4" s="11" t="s">
        <v>14</v>
      </c>
      <c r="F4" s="12"/>
      <c r="G4" s="13">
        <v>2</v>
      </c>
      <c r="H4" s="12" t="s">
        <v>15</v>
      </c>
      <c r="I4" s="13">
        <v>0</v>
      </c>
      <c r="J4" s="12"/>
      <c r="K4" s="14" t="s">
        <v>16</v>
      </c>
      <c r="M4" s="8" t="s">
        <v>17</v>
      </c>
      <c r="N4" s="9">
        <v>1</v>
      </c>
      <c r="O4" s="10" t="s">
        <v>18</v>
      </c>
      <c r="P4" s="11" t="s">
        <v>19</v>
      </c>
      <c r="Q4" s="12"/>
      <c r="R4" s="13"/>
      <c r="S4" s="12" t="s">
        <v>15</v>
      </c>
      <c r="T4" s="13"/>
      <c r="U4" s="12"/>
      <c r="V4" s="14" t="s">
        <v>20</v>
      </c>
      <c r="X4" s="8" t="s">
        <v>21</v>
      </c>
      <c r="Y4" s="9">
        <v>1</v>
      </c>
      <c r="Z4" s="10" t="s">
        <v>22</v>
      </c>
      <c r="AA4" s="11" t="s">
        <v>23</v>
      </c>
      <c r="AB4" s="12"/>
      <c r="AC4" s="13"/>
      <c r="AD4" s="12" t="s">
        <v>15</v>
      </c>
      <c r="AE4" s="13"/>
      <c r="AF4" s="12"/>
      <c r="AG4" s="14" t="s">
        <v>24</v>
      </c>
    </row>
    <row r="5" spans="2:33" x14ac:dyDescent="0.25">
      <c r="B5" s="15" t="s">
        <v>25</v>
      </c>
      <c r="C5" s="16">
        <v>1</v>
      </c>
      <c r="D5" s="17" t="s">
        <v>18</v>
      </c>
      <c r="E5" s="18" t="s">
        <v>26</v>
      </c>
      <c r="F5" s="19"/>
      <c r="G5" s="13">
        <v>2</v>
      </c>
      <c r="H5" s="19" t="s">
        <v>15</v>
      </c>
      <c r="I5" s="13">
        <v>1</v>
      </c>
      <c r="J5" s="19"/>
      <c r="K5" s="20" t="s">
        <v>27</v>
      </c>
      <c r="M5" s="15" t="s">
        <v>28</v>
      </c>
      <c r="N5" s="16">
        <v>1</v>
      </c>
      <c r="O5" s="17" t="s">
        <v>29</v>
      </c>
      <c r="P5" s="18" t="s">
        <v>30</v>
      </c>
      <c r="Q5" s="19"/>
      <c r="R5" s="13"/>
      <c r="S5" s="19" t="s">
        <v>15</v>
      </c>
      <c r="T5" s="13"/>
      <c r="U5" s="19"/>
      <c r="V5" s="20" t="s">
        <v>31</v>
      </c>
      <c r="X5" s="15" t="s">
        <v>32</v>
      </c>
      <c r="Y5" s="16">
        <v>1</v>
      </c>
      <c r="Z5" s="17" t="s">
        <v>22</v>
      </c>
      <c r="AA5" s="18" t="s">
        <v>33</v>
      </c>
      <c r="AB5" s="19"/>
      <c r="AC5" s="13"/>
      <c r="AD5" s="19" t="s">
        <v>15</v>
      </c>
      <c r="AE5" s="13"/>
      <c r="AF5" s="19"/>
      <c r="AG5" s="20" t="s">
        <v>34</v>
      </c>
    </row>
    <row r="6" spans="2:33" x14ac:dyDescent="0.25">
      <c r="B6" s="8" t="s">
        <v>35</v>
      </c>
      <c r="C6" s="9">
        <v>2</v>
      </c>
      <c r="D6" s="10" t="s">
        <v>36</v>
      </c>
      <c r="E6" s="11" t="s">
        <v>27</v>
      </c>
      <c r="F6" s="12"/>
      <c r="G6" s="13"/>
      <c r="H6" s="12" t="s">
        <v>15</v>
      </c>
      <c r="I6" s="13"/>
      <c r="J6" s="12"/>
      <c r="K6" s="14" t="s">
        <v>16</v>
      </c>
      <c r="M6" s="8" t="s">
        <v>37</v>
      </c>
      <c r="N6" s="9">
        <v>2</v>
      </c>
      <c r="O6" s="10" t="s">
        <v>36</v>
      </c>
      <c r="P6" s="11" t="s">
        <v>31</v>
      </c>
      <c r="Q6" s="12"/>
      <c r="R6" s="13"/>
      <c r="S6" s="12" t="s">
        <v>15</v>
      </c>
      <c r="T6" s="13"/>
      <c r="U6" s="12"/>
      <c r="V6" s="14" t="s">
        <v>20</v>
      </c>
      <c r="X6" s="8" t="s">
        <v>38</v>
      </c>
      <c r="Y6" s="9">
        <v>2</v>
      </c>
      <c r="Z6" s="10" t="s">
        <v>39</v>
      </c>
      <c r="AA6" s="11" t="s">
        <v>33</v>
      </c>
      <c r="AB6" s="12"/>
      <c r="AC6" s="13"/>
      <c r="AD6" s="12" t="s">
        <v>15</v>
      </c>
      <c r="AE6" s="13"/>
      <c r="AF6" s="12"/>
      <c r="AG6" s="14" t="s">
        <v>23</v>
      </c>
    </row>
    <row r="7" spans="2:33" x14ac:dyDescent="0.25">
      <c r="B7" s="15" t="s">
        <v>40</v>
      </c>
      <c r="C7" s="16">
        <v>2</v>
      </c>
      <c r="D7" s="17" t="s">
        <v>41</v>
      </c>
      <c r="E7" s="18" t="s">
        <v>14</v>
      </c>
      <c r="F7" s="19"/>
      <c r="G7" s="13"/>
      <c r="H7" s="19" t="s">
        <v>15</v>
      </c>
      <c r="I7" s="13"/>
      <c r="J7" s="19"/>
      <c r="K7" s="20" t="s">
        <v>26</v>
      </c>
      <c r="M7" s="15" t="s">
        <v>42</v>
      </c>
      <c r="N7" s="16">
        <v>2</v>
      </c>
      <c r="O7" s="17" t="s">
        <v>41</v>
      </c>
      <c r="P7" s="18" t="s">
        <v>19</v>
      </c>
      <c r="Q7" s="19"/>
      <c r="R7" s="13"/>
      <c r="S7" s="19" t="s">
        <v>15</v>
      </c>
      <c r="T7" s="13"/>
      <c r="U7" s="19"/>
      <c r="V7" s="20" t="s">
        <v>30</v>
      </c>
      <c r="X7" s="15" t="s">
        <v>43</v>
      </c>
      <c r="Y7" s="16">
        <v>2</v>
      </c>
      <c r="Z7" s="17" t="s">
        <v>39</v>
      </c>
      <c r="AA7" s="18" t="s">
        <v>24</v>
      </c>
      <c r="AB7" s="19"/>
      <c r="AC7" s="13"/>
      <c r="AD7" s="19" t="s">
        <v>15</v>
      </c>
      <c r="AE7" s="13"/>
      <c r="AF7" s="19"/>
      <c r="AG7" s="20" t="s">
        <v>34</v>
      </c>
    </row>
    <row r="8" spans="2:33" x14ac:dyDescent="0.25">
      <c r="B8" s="8" t="s">
        <v>44</v>
      </c>
      <c r="C8" s="9">
        <v>3</v>
      </c>
      <c r="D8" s="10" t="s">
        <v>45</v>
      </c>
      <c r="E8" s="11" t="s">
        <v>27</v>
      </c>
      <c r="F8" s="12"/>
      <c r="G8" s="13"/>
      <c r="H8" s="12" t="s">
        <v>15</v>
      </c>
      <c r="I8" s="13"/>
      <c r="J8" s="12"/>
      <c r="K8" s="14" t="s">
        <v>14</v>
      </c>
      <c r="M8" s="8" t="s">
        <v>46</v>
      </c>
      <c r="N8" s="9">
        <v>3</v>
      </c>
      <c r="O8" s="10" t="s">
        <v>47</v>
      </c>
      <c r="P8" s="11" t="s">
        <v>31</v>
      </c>
      <c r="Q8" s="12"/>
      <c r="R8" s="13"/>
      <c r="S8" s="12" t="s">
        <v>15</v>
      </c>
      <c r="T8" s="13"/>
      <c r="U8" s="12"/>
      <c r="V8" s="14" t="s">
        <v>19</v>
      </c>
      <c r="X8" s="8" t="s">
        <v>48</v>
      </c>
      <c r="Y8" s="9">
        <v>3</v>
      </c>
      <c r="Z8" s="10" t="s">
        <v>45</v>
      </c>
      <c r="AA8" s="11" t="s">
        <v>24</v>
      </c>
      <c r="AB8" s="12"/>
      <c r="AC8" s="13"/>
      <c r="AD8" s="12" t="s">
        <v>15</v>
      </c>
      <c r="AE8" s="13"/>
      <c r="AF8" s="12"/>
      <c r="AG8" s="14" t="s">
        <v>33</v>
      </c>
    </row>
    <row r="9" spans="2:33" x14ac:dyDescent="0.25">
      <c r="B9" s="15" t="s">
        <v>49</v>
      </c>
      <c r="C9" s="16">
        <v>3</v>
      </c>
      <c r="D9" s="17" t="s">
        <v>45</v>
      </c>
      <c r="E9" s="18" t="s">
        <v>16</v>
      </c>
      <c r="F9" s="19"/>
      <c r="G9" s="13"/>
      <c r="H9" s="19" t="s">
        <v>15</v>
      </c>
      <c r="I9" s="13"/>
      <c r="J9" s="19"/>
      <c r="K9" s="20" t="s">
        <v>26</v>
      </c>
      <c r="M9" s="15" t="s">
        <v>50</v>
      </c>
      <c r="N9" s="16">
        <v>3</v>
      </c>
      <c r="O9" s="17" t="s">
        <v>47</v>
      </c>
      <c r="P9" s="18" t="s">
        <v>20</v>
      </c>
      <c r="Q9" s="19"/>
      <c r="R9" s="13"/>
      <c r="S9" s="19" t="s">
        <v>15</v>
      </c>
      <c r="T9" s="13"/>
      <c r="U9" s="19"/>
      <c r="V9" s="20" t="s">
        <v>30</v>
      </c>
      <c r="X9" s="15" t="s">
        <v>51</v>
      </c>
      <c r="Y9" s="16">
        <v>3</v>
      </c>
      <c r="Z9" s="17" t="s">
        <v>45</v>
      </c>
      <c r="AA9" s="18" t="s">
        <v>34</v>
      </c>
      <c r="AB9" s="19"/>
      <c r="AC9" s="13"/>
      <c r="AD9" s="19" t="s">
        <v>15</v>
      </c>
      <c r="AE9" s="13"/>
      <c r="AF9" s="19"/>
      <c r="AG9" s="20" t="s">
        <v>23</v>
      </c>
    </row>
    <row r="10" spans="2:33" x14ac:dyDescent="0.25">
      <c r="B10" s="21" t="s">
        <v>52</v>
      </c>
      <c r="C10" s="21"/>
      <c r="D10" s="21"/>
      <c r="E10" s="21"/>
      <c r="F10" s="21"/>
      <c r="G10" s="21"/>
      <c r="H10" s="21"/>
      <c r="I10" s="21"/>
      <c r="J10" s="21"/>
      <c r="K10" s="21"/>
      <c r="M10" s="22" t="s">
        <v>52</v>
      </c>
      <c r="N10" s="22"/>
      <c r="O10" s="22"/>
      <c r="P10" s="22"/>
      <c r="Q10" s="22"/>
      <c r="R10" s="22"/>
      <c r="S10" s="22"/>
      <c r="T10" s="22"/>
      <c r="U10" s="22"/>
      <c r="V10" s="22"/>
      <c r="X10" s="23" t="s">
        <v>52</v>
      </c>
      <c r="Y10" s="23"/>
      <c r="Z10" s="23"/>
      <c r="AA10" s="23"/>
      <c r="AB10" s="23"/>
      <c r="AC10" s="23"/>
      <c r="AD10" s="23"/>
      <c r="AE10" s="23"/>
      <c r="AF10" s="23"/>
      <c r="AG10" s="23"/>
    </row>
    <row r="11" spans="2:33" x14ac:dyDescent="0.25">
      <c r="B11" s="24" t="s">
        <v>53</v>
      </c>
      <c r="C11" s="25" t="s">
        <v>54</v>
      </c>
      <c r="D11" s="25"/>
      <c r="E11" s="26" t="s">
        <v>55</v>
      </c>
      <c r="F11" s="26" t="s">
        <v>56</v>
      </c>
      <c r="G11" s="26" t="s">
        <v>57</v>
      </c>
      <c r="H11" s="26" t="s">
        <v>58</v>
      </c>
      <c r="I11" s="26" t="s">
        <v>8</v>
      </c>
      <c r="J11" s="26" t="s">
        <v>10</v>
      </c>
      <c r="K11" s="27" t="s">
        <v>59</v>
      </c>
      <c r="M11" s="24" t="s">
        <v>53</v>
      </c>
      <c r="N11" s="25" t="s">
        <v>54</v>
      </c>
      <c r="O11" s="25"/>
      <c r="P11" s="26" t="s">
        <v>55</v>
      </c>
      <c r="Q11" s="26" t="s">
        <v>56</v>
      </c>
      <c r="R11" s="26" t="s">
        <v>57</v>
      </c>
      <c r="S11" s="26" t="s">
        <v>58</v>
      </c>
      <c r="T11" s="26" t="s">
        <v>8</v>
      </c>
      <c r="U11" s="26" t="s">
        <v>10</v>
      </c>
      <c r="V11" s="27" t="s">
        <v>59</v>
      </c>
      <c r="X11" s="24" t="s">
        <v>53</v>
      </c>
      <c r="Y11" s="25" t="s">
        <v>54</v>
      </c>
      <c r="Z11" s="25"/>
      <c r="AA11" s="26" t="s">
        <v>55</v>
      </c>
      <c r="AB11" s="26" t="s">
        <v>56</v>
      </c>
      <c r="AC11" s="26" t="s">
        <v>57</v>
      </c>
      <c r="AD11" s="26" t="s">
        <v>58</v>
      </c>
      <c r="AE11" s="26" t="s">
        <v>8</v>
      </c>
      <c r="AF11" s="26" t="s">
        <v>10</v>
      </c>
      <c r="AG11" s="27" t="s">
        <v>59</v>
      </c>
    </row>
    <row r="12" spans="2:33" x14ac:dyDescent="0.25">
      <c r="B12" s="28">
        <v>1</v>
      </c>
      <c r="C12" s="29">
        <f>INDEX(CALC!$B$2:$B$5,MATCH(LARGE(CALC!$K$2:$K$5,1),CALC!$K$2:$K$5,0))</f>
      </c>
      <c r="D12" s="29"/>
      <c r="E12" s="30">
        <f>INDEX(CALC!$C$2:$C$5,MATCH(LARGE(CALC!$K$2:$K$5,1),CALC!$K$2:$K$5,0))</f>
      </c>
      <c r="F12" s="30">
        <f>INDEX(CALC!$D$2:$D$5,MATCH(LARGE(CALC!$K$2:$K$5,1),CALC!$K$2:$K$5,0))</f>
      </c>
      <c r="G12" s="30">
        <f>INDEX(CALC!$E$2:$E$5,MATCH(LARGE(CALC!$K$2:$K$5,1),CALC!$K$2:$K$5,0))</f>
      </c>
      <c r="H12" s="30">
        <f>INDEX(CALC!$F$2:$F$5,MATCH(LARGE(CALC!$K$2:$K$5,1),CALC!$K$2:$K$5,0))</f>
      </c>
      <c r="I12" s="30">
        <f>INDEX(CALC!$G$2:$G$5,MATCH(LARGE(CALC!$K$2:$K$5,1),CALC!$K$2:$K$5,0))</f>
      </c>
      <c r="J12" s="30">
        <f>INDEX(CALC!$H$2:$H$5,MATCH(LARGE(CALC!$K$2:$K$5,1),CALC!$K$2:$K$5,0))</f>
      </c>
      <c r="K12" s="31">
        <f>INDEX(CALC!$J$2:$J$5,MATCH(LARGE(CALC!$K$2:$K$5,1),CALC!$K$2:$K$5,0))</f>
      </c>
      <c r="M12" s="28">
        <v>1</v>
      </c>
      <c r="N12" s="29">
        <f>INDEX(CALC!$B$6:$B$9,MATCH(LARGE(CALC!$K$6:$K$9,1),CALC!$K$6:$K$9,0))</f>
      </c>
      <c r="O12" s="29"/>
      <c r="P12" s="30">
        <f>INDEX(CALC!$C$6:$C$9,MATCH(LARGE(CALC!$K$6:$K$9,1),CALC!$K$6:$K$9,0))</f>
      </c>
      <c r="Q12" s="30">
        <f>INDEX(CALC!$D$6:$D$9,MATCH(LARGE(CALC!$K$6:$K$9,1),CALC!$K$6:$K$9,0))</f>
      </c>
      <c r="R12" s="30">
        <f>INDEX(CALC!$E$6:$E$9,MATCH(LARGE(CALC!$K$6:$K$9,1),CALC!$K$6:$K$9,0))</f>
      </c>
      <c r="S12" s="30">
        <f>INDEX(CALC!$F$6:$F$9,MATCH(LARGE(CALC!$K$6:$K$9,1),CALC!$K$6:$K$9,0))</f>
      </c>
      <c r="T12" s="30">
        <f>INDEX(CALC!$G$6:$G$9,MATCH(LARGE(CALC!$K$6:$K$9,1),CALC!$K$6:$K$9,0))</f>
      </c>
      <c r="U12" s="30">
        <f>INDEX(CALC!$H$6:$H$9,MATCH(LARGE(CALC!$K$6:$K$9,1),CALC!$K$6:$K$9,0))</f>
      </c>
      <c r="V12" s="31">
        <f>INDEX(CALC!$J$6:$J$9,MATCH(LARGE(CALC!$K$6:$K$9,1),CALC!$K$6:$K$9,0))</f>
      </c>
      <c r="X12" s="28">
        <v>1</v>
      </c>
      <c r="Y12" s="29">
        <f>INDEX(CALC!$B$10:$B$13,MATCH(LARGE(CALC!$K$10:$K$13,1),CALC!$K$10:$K$13,0))</f>
      </c>
      <c r="Z12" s="29"/>
      <c r="AA12" s="30">
        <f>INDEX(CALC!$C$10:$C$13,MATCH(LARGE(CALC!$K$10:$K$13,1),CALC!$K$10:$K$13,0))</f>
      </c>
      <c r="AB12" s="30">
        <f>INDEX(CALC!$D$10:$D$13,MATCH(LARGE(CALC!$K$10:$K$13,1),CALC!$K$10:$K$13,0))</f>
      </c>
      <c r="AC12" s="30">
        <f>INDEX(CALC!$E$10:$E$13,MATCH(LARGE(CALC!$K$10:$K$13,1),CALC!$K$10:$K$13,0))</f>
      </c>
      <c r="AD12" s="30">
        <f>INDEX(CALC!$F$10:$F$13,MATCH(LARGE(CALC!$K$10:$K$13,1),CALC!$K$10:$K$13,0))</f>
      </c>
      <c r="AE12" s="30">
        <f>INDEX(CALC!$G$10:$G$13,MATCH(LARGE(CALC!$K$10:$K$13,1),CALC!$K$10:$K$13,0))</f>
      </c>
      <c r="AF12" s="30">
        <f>INDEX(CALC!$H$10:$H$13,MATCH(LARGE(CALC!$K$10:$K$13,1),CALC!$K$10:$K$13,0))</f>
      </c>
      <c r="AG12" s="31">
        <f>INDEX(CALC!$J$10:$J$13,MATCH(LARGE(CALC!$K$10:$K$13,1),CALC!$K$10:$K$13,0))</f>
      </c>
    </row>
    <row r="13" spans="2:33" x14ac:dyDescent="0.25">
      <c r="B13" s="28">
        <v>2</v>
      </c>
      <c r="C13" s="29">
        <f>INDEX(CALC!$B$2:$B$5,MATCH(LARGE(CALC!$K$2:$K$5,2),CALC!$K$2:$K$5,0))</f>
      </c>
      <c r="D13" s="29"/>
      <c r="E13" s="30">
        <f>INDEX(CALC!$C$2:$C$5,MATCH(LARGE(CALC!$K$2:$K$5,2),CALC!$K$2:$K$5,0))</f>
      </c>
      <c r="F13" s="30">
        <f>INDEX(CALC!$D$2:$D$5,MATCH(LARGE(CALC!$K$2:$K$5,2),CALC!$K$2:$K$5,0))</f>
      </c>
      <c r="G13" s="30">
        <f>INDEX(CALC!$E$2:$E$5,MATCH(LARGE(CALC!$K$2:$K$5,2),CALC!$K$2:$K$5,0))</f>
      </c>
      <c r="H13" s="30">
        <f>INDEX(CALC!$F$2:$F$5,MATCH(LARGE(CALC!$K$2:$K$5,2),CALC!$K$2:$K$5,0))</f>
      </c>
      <c r="I13" s="30">
        <f>INDEX(CALC!$G$2:$G$5,MATCH(LARGE(CALC!$K$2:$K$5,2),CALC!$K$2:$K$5,0))</f>
      </c>
      <c r="J13" s="30">
        <f>INDEX(CALC!$H$2:$H$5,MATCH(LARGE(CALC!$K$2:$K$5,2),CALC!$K$2:$K$5,0))</f>
      </c>
      <c r="K13" s="31">
        <f>INDEX(CALC!$J$2:$J$5,MATCH(LARGE(CALC!$K$2:$K$5,2),CALC!$K$2:$K$5,0))</f>
      </c>
      <c r="M13" s="28">
        <v>2</v>
      </c>
      <c r="N13" s="29">
        <f>INDEX(CALC!$B$6:$B$9,MATCH(LARGE(CALC!$K$6:$K$9,2),CALC!$K$6:$K$9,0))</f>
      </c>
      <c r="O13" s="29"/>
      <c r="P13" s="30">
        <f>INDEX(CALC!$C$6:$C$9,MATCH(LARGE(CALC!$K$6:$K$9,2),CALC!$K$6:$K$9,0))</f>
      </c>
      <c r="Q13" s="30">
        <f>INDEX(CALC!$D$6:$D$9,MATCH(LARGE(CALC!$K$6:$K$9,2),CALC!$K$6:$K$9,0))</f>
      </c>
      <c r="R13" s="30">
        <f>INDEX(CALC!$E$6:$E$9,MATCH(LARGE(CALC!$K$6:$K$9,2),CALC!$K$6:$K$9,0))</f>
      </c>
      <c r="S13" s="30">
        <f>INDEX(CALC!$F$6:$F$9,MATCH(LARGE(CALC!$K$6:$K$9,2),CALC!$K$6:$K$9,0))</f>
      </c>
      <c r="T13" s="30">
        <f>INDEX(CALC!$G$6:$G$9,MATCH(LARGE(CALC!$K$6:$K$9,2),CALC!$K$6:$K$9,0))</f>
      </c>
      <c r="U13" s="30">
        <f>INDEX(CALC!$H$6:$H$9,MATCH(LARGE(CALC!$K$6:$K$9,2),CALC!$K$6:$K$9,0))</f>
      </c>
      <c r="V13" s="31">
        <f>INDEX(CALC!$J$6:$J$9,MATCH(LARGE(CALC!$K$6:$K$9,2),CALC!$K$6:$K$9,0))</f>
      </c>
      <c r="X13" s="28">
        <v>2</v>
      </c>
      <c r="Y13" s="29">
        <f>INDEX(CALC!$B$10:$B$13,MATCH(LARGE(CALC!$K$10:$K$13,2),CALC!$K$10:$K$13,0))</f>
      </c>
      <c r="Z13" s="29"/>
      <c r="AA13" s="30">
        <f>INDEX(CALC!$C$10:$C$13,MATCH(LARGE(CALC!$K$10:$K$13,2),CALC!$K$10:$K$13,0))</f>
      </c>
      <c r="AB13" s="30">
        <f>INDEX(CALC!$D$10:$D$13,MATCH(LARGE(CALC!$K$10:$K$13,2),CALC!$K$10:$K$13,0))</f>
      </c>
      <c r="AC13" s="30">
        <f>INDEX(CALC!$E$10:$E$13,MATCH(LARGE(CALC!$K$10:$K$13,2),CALC!$K$10:$K$13,0))</f>
      </c>
      <c r="AD13" s="30">
        <f>INDEX(CALC!$F$10:$F$13,MATCH(LARGE(CALC!$K$10:$K$13,2),CALC!$K$10:$K$13,0))</f>
      </c>
      <c r="AE13" s="30">
        <f>INDEX(CALC!$G$10:$G$13,MATCH(LARGE(CALC!$K$10:$K$13,2),CALC!$K$10:$K$13,0))</f>
      </c>
      <c r="AF13" s="30">
        <f>INDEX(CALC!$H$10:$H$13,MATCH(LARGE(CALC!$K$10:$K$13,2),CALC!$K$10:$K$13,0))</f>
      </c>
      <c r="AG13" s="31">
        <f>INDEX(CALC!$J$10:$J$13,MATCH(LARGE(CALC!$K$10:$K$13,2),CALC!$K$10:$K$13,0))</f>
      </c>
    </row>
    <row r="14" spans="2:33" x14ac:dyDescent="0.25">
      <c r="B14" s="32">
        <v>3</v>
      </c>
      <c r="C14" s="33">
        <f>INDEX(CALC!$B$2:$B$5,MATCH(LARGE(CALC!$K$2:$K$5,3),CALC!$K$2:$K$5,0))</f>
      </c>
      <c r="D14" s="33"/>
      <c r="E14" s="34">
        <f>INDEX(CALC!$C$2:$C$5,MATCH(LARGE(CALC!$K$2:$K$5,3),CALC!$K$2:$K$5,0))</f>
      </c>
      <c r="F14" s="34">
        <f>INDEX(CALC!$D$2:$D$5,MATCH(LARGE(CALC!$K$2:$K$5,3),CALC!$K$2:$K$5,0))</f>
      </c>
      <c r="G14" s="34">
        <f>INDEX(CALC!$E$2:$E$5,MATCH(LARGE(CALC!$K$2:$K$5,3),CALC!$K$2:$K$5,0))</f>
      </c>
      <c r="H14" s="34">
        <f>INDEX(CALC!$F$2:$F$5,MATCH(LARGE(CALC!$K$2:$K$5,3),CALC!$K$2:$K$5,0))</f>
      </c>
      <c r="I14" s="34">
        <f>INDEX(CALC!$G$2:$G$5,MATCH(LARGE(CALC!$K$2:$K$5,3),CALC!$K$2:$K$5,0))</f>
      </c>
      <c r="J14" s="34">
        <f>INDEX(CALC!$H$2:$H$5,MATCH(LARGE(CALC!$K$2:$K$5,3),CALC!$K$2:$K$5,0))</f>
      </c>
      <c r="K14" s="35">
        <f>INDEX(CALC!$J$2:$J$5,MATCH(LARGE(CALC!$K$2:$K$5,3),CALC!$K$2:$K$5,0))</f>
      </c>
      <c r="M14" s="32">
        <v>3</v>
      </c>
      <c r="N14" s="33">
        <f>INDEX(CALC!$B$6:$B$9,MATCH(LARGE(CALC!$K$6:$K$9,3),CALC!$K$6:$K$9,0))</f>
      </c>
      <c r="O14" s="33"/>
      <c r="P14" s="34">
        <f>INDEX(CALC!$C$6:$C$9,MATCH(LARGE(CALC!$K$6:$K$9,3),CALC!$K$6:$K$9,0))</f>
      </c>
      <c r="Q14" s="34">
        <f>INDEX(CALC!$D$6:$D$9,MATCH(LARGE(CALC!$K$6:$K$9,3),CALC!$K$6:$K$9,0))</f>
      </c>
      <c r="R14" s="34">
        <f>INDEX(CALC!$E$6:$E$9,MATCH(LARGE(CALC!$K$6:$K$9,3),CALC!$K$6:$K$9,0))</f>
      </c>
      <c r="S14" s="34">
        <f>INDEX(CALC!$F$6:$F$9,MATCH(LARGE(CALC!$K$6:$K$9,3),CALC!$K$6:$K$9,0))</f>
      </c>
      <c r="T14" s="34">
        <f>INDEX(CALC!$G$6:$G$9,MATCH(LARGE(CALC!$K$6:$K$9,3),CALC!$K$6:$K$9,0))</f>
      </c>
      <c r="U14" s="34">
        <f>INDEX(CALC!$H$6:$H$9,MATCH(LARGE(CALC!$K$6:$K$9,3),CALC!$K$6:$K$9,0))</f>
      </c>
      <c r="V14" s="35">
        <f>INDEX(CALC!$J$6:$J$9,MATCH(LARGE(CALC!$K$6:$K$9,3),CALC!$K$6:$K$9,0))</f>
      </c>
      <c r="X14" s="32">
        <v>3</v>
      </c>
      <c r="Y14" s="33">
        <f>INDEX(CALC!$B$10:$B$13,MATCH(LARGE(CALC!$K$10:$K$13,3),CALC!$K$10:$K$13,0))</f>
      </c>
      <c r="Z14" s="33"/>
      <c r="AA14" s="34">
        <f>INDEX(CALC!$C$10:$C$13,MATCH(LARGE(CALC!$K$10:$K$13,3),CALC!$K$10:$K$13,0))</f>
      </c>
      <c r="AB14" s="34">
        <f>INDEX(CALC!$D$10:$D$13,MATCH(LARGE(CALC!$K$10:$K$13,3),CALC!$K$10:$K$13,0))</f>
      </c>
      <c r="AC14" s="34">
        <f>INDEX(CALC!$E$10:$E$13,MATCH(LARGE(CALC!$K$10:$K$13,3),CALC!$K$10:$K$13,0))</f>
      </c>
      <c r="AD14" s="34">
        <f>INDEX(CALC!$F$10:$F$13,MATCH(LARGE(CALC!$K$10:$K$13,3),CALC!$K$10:$K$13,0))</f>
      </c>
      <c r="AE14" s="34">
        <f>INDEX(CALC!$G$10:$G$13,MATCH(LARGE(CALC!$K$10:$K$13,3),CALC!$K$10:$K$13,0))</f>
      </c>
      <c r="AF14" s="34">
        <f>INDEX(CALC!$H$10:$H$13,MATCH(LARGE(CALC!$K$10:$K$13,3),CALC!$K$10:$K$13,0))</f>
      </c>
      <c r="AG14" s="35">
        <f>INDEX(CALC!$J$10:$J$13,MATCH(LARGE(CALC!$K$10:$K$13,3),CALC!$K$10:$K$13,0))</f>
      </c>
    </row>
    <row r="15" spans="2:33" x14ac:dyDescent="0.25">
      <c r="B15" s="36">
        <v>4</v>
      </c>
      <c r="C15" s="37">
        <f>INDEX(CALC!$B$2:$B$5,MATCH(LARGE(CALC!$K$2:$K$5,4),CALC!$K$2:$K$5,0))</f>
      </c>
      <c r="D15" s="37"/>
      <c r="E15" s="38">
        <f>INDEX(CALC!$C$2:$C$5,MATCH(LARGE(CALC!$K$2:$K$5,4),CALC!$K$2:$K$5,0))</f>
      </c>
      <c r="F15" s="38">
        <f>INDEX(CALC!$D$2:$D$5,MATCH(LARGE(CALC!$K$2:$K$5,4),CALC!$K$2:$K$5,0))</f>
      </c>
      <c r="G15" s="38">
        <f>INDEX(CALC!$E$2:$E$5,MATCH(LARGE(CALC!$K$2:$K$5,4),CALC!$K$2:$K$5,0))</f>
      </c>
      <c r="H15" s="38">
        <f>INDEX(CALC!$F$2:$F$5,MATCH(LARGE(CALC!$K$2:$K$5,4),CALC!$K$2:$K$5,0))</f>
      </c>
      <c r="I15" s="38">
        <f>INDEX(CALC!$G$2:$G$5,MATCH(LARGE(CALC!$K$2:$K$5,4),CALC!$K$2:$K$5,0))</f>
      </c>
      <c r="J15" s="38">
        <f>INDEX(CALC!$H$2:$H$5,MATCH(LARGE(CALC!$K$2:$K$5,4),CALC!$K$2:$K$5,0))</f>
      </c>
      <c r="K15" s="39">
        <f>INDEX(CALC!$J$2:$J$5,MATCH(LARGE(CALC!$K$2:$K$5,4),CALC!$K$2:$K$5,0))</f>
      </c>
      <c r="M15" s="36">
        <v>4</v>
      </c>
      <c r="N15" s="37">
        <f>INDEX(CALC!$B$6:$B$9,MATCH(LARGE(CALC!$K$6:$K$9,4),CALC!$K$6:$K$9,0))</f>
      </c>
      <c r="O15" s="37"/>
      <c r="P15" s="38">
        <f>INDEX(CALC!$C$6:$C$9,MATCH(LARGE(CALC!$K$6:$K$9,4),CALC!$K$6:$K$9,0))</f>
      </c>
      <c r="Q15" s="38">
        <f>INDEX(CALC!$D$6:$D$9,MATCH(LARGE(CALC!$K$6:$K$9,4),CALC!$K$6:$K$9,0))</f>
      </c>
      <c r="R15" s="38">
        <f>INDEX(CALC!$E$6:$E$9,MATCH(LARGE(CALC!$K$6:$K$9,4),CALC!$K$6:$K$9,0))</f>
      </c>
      <c r="S15" s="38">
        <f>INDEX(CALC!$F$6:$F$9,MATCH(LARGE(CALC!$K$6:$K$9,4),CALC!$K$6:$K$9,0))</f>
      </c>
      <c r="T15" s="38">
        <f>INDEX(CALC!$G$6:$G$9,MATCH(LARGE(CALC!$K$6:$K$9,4),CALC!$K$6:$K$9,0))</f>
      </c>
      <c r="U15" s="38">
        <f>INDEX(CALC!$H$6:$H$9,MATCH(LARGE(CALC!$K$6:$K$9,4),CALC!$K$6:$K$9,0))</f>
      </c>
      <c r="V15" s="39">
        <f>INDEX(CALC!$J$6:$J$9,MATCH(LARGE(CALC!$K$6:$K$9,4),CALC!$K$6:$K$9,0))</f>
      </c>
      <c r="X15" s="36">
        <v>4</v>
      </c>
      <c r="Y15" s="37">
        <f>INDEX(CALC!$B$10:$B$13,MATCH(LARGE(CALC!$K$10:$K$13,4),CALC!$K$10:$K$13,0))</f>
      </c>
      <c r="Z15" s="37"/>
      <c r="AA15" s="38">
        <f>INDEX(CALC!$C$10:$C$13,MATCH(LARGE(CALC!$K$10:$K$13,4),CALC!$K$10:$K$13,0))</f>
      </c>
      <c r="AB15" s="38">
        <f>INDEX(CALC!$D$10:$D$13,MATCH(LARGE(CALC!$K$10:$K$13,4),CALC!$K$10:$K$13,0))</f>
      </c>
      <c r="AC15" s="38">
        <f>INDEX(CALC!$E$10:$E$13,MATCH(LARGE(CALC!$K$10:$K$13,4),CALC!$K$10:$K$13,0))</f>
      </c>
      <c r="AD15" s="38">
        <f>INDEX(CALC!$F$10:$F$13,MATCH(LARGE(CALC!$K$10:$K$13,4),CALC!$K$10:$K$13,0))</f>
      </c>
      <c r="AE15" s="38">
        <f>INDEX(CALC!$G$10:$G$13,MATCH(LARGE(CALC!$K$10:$K$13,4),CALC!$K$10:$K$13,0))</f>
      </c>
      <c r="AF15" s="38">
        <f>INDEX(CALC!$H$10:$H$13,MATCH(LARGE(CALC!$K$10:$K$13,4),CALC!$K$10:$K$13,0))</f>
      </c>
      <c r="AG15" s="39">
        <f>INDEX(CALC!$J$10:$J$13,MATCH(LARGE(CALC!$K$10:$K$13,4),CALC!$K$10:$K$13,0))</f>
      </c>
    </row>
    <row r="19" spans="2:33" x14ac:dyDescent="0.25">
      <c r="B19" s="40" t="s">
        <v>60</v>
      </c>
      <c r="C19" s="40"/>
      <c r="D19" s="40"/>
      <c r="E19" s="40"/>
      <c r="F19" s="40"/>
      <c r="G19" s="40"/>
      <c r="H19" s="40"/>
      <c r="I19" s="2">
        <f>COUNTA($G$21:$G$26)&amp;"/6"</f>
      </c>
      <c r="J19" s="2"/>
      <c r="K19" s="2"/>
      <c r="M19" s="1" t="s">
        <v>61</v>
      </c>
      <c r="N19" s="1"/>
      <c r="O19" s="1"/>
      <c r="P19" s="1"/>
      <c r="Q19" s="1"/>
      <c r="R19" s="1"/>
      <c r="S19" s="1"/>
      <c r="T19" s="2">
        <f>COUNTA($R$21:$R$26)&amp;"/6"</f>
      </c>
      <c r="U19" s="2"/>
      <c r="V19" s="2"/>
      <c r="X19" s="3" t="s">
        <v>62</v>
      </c>
      <c r="Y19" s="3"/>
      <c r="Z19" s="3"/>
      <c r="AA19" s="3"/>
      <c r="AB19" s="3"/>
      <c r="AC19" s="3"/>
      <c r="AD19" s="3"/>
      <c r="AE19" s="2">
        <f>COUNTA($AC$21:$AC$26)&amp;"/6"</f>
      </c>
      <c r="AF19" s="2"/>
      <c r="AG19" s="2"/>
    </row>
    <row r="20" spans="2:33" x14ac:dyDescent="0.25">
      <c r="B20" s="5" t="s">
        <v>3</v>
      </c>
      <c r="C20" s="6" t="s">
        <v>4</v>
      </c>
      <c r="D20" s="6" t="s">
        <v>5</v>
      </c>
      <c r="E20" s="6" t="s">
        <v>6</v>
      </c>
      <c r="F20" s="6" t="s">
        <v>7</v>
      </c>
      <c r="G20" s="6" t="s">
        <v>8</v>
      </c>
      <c r="H20" s="6" t="s">
        <v>9</v>
      </c>
      <c r="I20" s="6" t="s">
        <v>10</v>
      </c>
      <c r="J20" s="6" t="s">
        <v>7</v>
      </c>
      <c r="K20" s="7" t="s">
        <v>11</v>
      </c>
      <c r="M20" s="5" t="s">
        <v>3</v>
      </c>
      <c r="N20" s="6" t="s">
        <v>4</v>
      </c>
      <c r="O20" s="6" t="s">
        <v>5</v>
      </c>
      <c r="P20" s="6" t="s">
        <v>6</v>
      </c>
      <c r="Q20" s="6" t="s">
        <v>7</v>
      </c>
      <c r="R20" s="6" t="s">
        <v>8</v>
      </c>
      <c r="S20" s="6" t="s">
        <v>9</v>
      </c>
      <c r="T20" s="6" t="s">
        <v>10</v>
      </c>
      <c r="U20" s="6" t="s">
        <v>7</v>
      </c>
      <c r="V20" s="7" t="s">
        <v>11</v>
      </c>
      <c r="X20" s="5" t="s">
        <v>3</v>
      </c>
      <c r="Y20" s="6" t="s">
        <v>4</v>
      </c>
      <c r="Z20" s="6" t="s">
        <v>5</v>
      </c>
      <c r="AA20" s="6" t="s">
        <v>6</v>
      </c>
      <c r="AB20" s="6" t="s">
        <v>7</v>
      </c>
      <c r="AC20" s="6" t="s">
        <v>8</v>
      </c>
      <c r="AD20" s="6" t="s">
        <v>9</v>
      </c>
      <c r="AE20" s="6" t="s">
        <v>10</v>
      </c>
      <c r="AF20" s="6" t="s">
        <v>7</v>
      </c>
      <c r="AG20" s="7" t="s">
        <v>11</v>
      </c>
    </row>
    <row r="21" spans="2:33" x14ac:dyDescent="0.25">
      <c r="B21" s="8" t="s">
        <v>63</v>
      </c>
      <c r="C21" s="9">
        <v>1</v>
      </c>
      <c r="D21" s="10" t="s">
        <v>29</v>
      </c>
      <c r="E21" s="11" t="s">
        <v>64</v>
      </c>
      <c r="F21" s="12"/>
      <c r="G21" s="13"/>
      <c r="H21" s="12" t="s">
        <v>15</v>
      </c>
      <c r="I21" s="13"/>
      <c r="J21" s="12"/>
      <c r="K21" s="14" t="s">
        <v>65</v>
      </c>
      <c r="M21" s="8" t="s">
        <v>66</v>
      </c>
      <c r="N21" s="9">
        <v>1</v>
      </c>
      <c r="O21" s="10" t="s">
        <v>67</v>
      </c>
      <c r="P21" s="11" t="s">
        <v>68</v>
      </c>
      <c r="Q21" s="12"/>
      <c r="R21" s="13"/>
      <c r="S21" s="12" t="s">
        <v>15</v>
      </c>
      <c r="T21" s="13"/>
      <c r="U21" s="12"/>
      <c r="V21" s="14" t="s">
        <v>69</v>
      </c>
      <c r="X21" s="8" t="s">
        <v>70</v>
      </c>
      <c r="Y21" s="9">
        <v>1</v>
      </c>
      <c r="Z21" s="10" t="s">
        <v>22</v>
      </c>
      <c r="AA21" s="11" t="s">
        <v>71</v>
      </c>
      <c r="AB21" s="12"/>
      <c r="AC21" s="13"/>
      <c r="AD21" s="12" t="s">
        <v>15</v>
      </c>
      <c r="AE21" s="13"/>
      <c r="AF21" s="12"/>
      <c r="AG21" s="14" t="s">
        <v>72</v>
      </c>
    </row>
    <row r="22" spans="2:33" x14ac:dyDescent="0.25">
      <c r="B22" s="15" t="s">
        <v>73</v>
      </c>
      <c r="C22" s="16">
        <v>1</v>
      </c>
      <c r="D22" s="17" t="s">
        <v>22</v>
      </c>
      <c r="E22" s="18" t="s">
        <v>74</v>
      </c>
      <c r="F22" s="19"/>
      <c r="G22" s="13"/>
      <c r="H22" s="19" t="s">
        <v>15</v>
      </c>
      <c r="I22" s="13"/>
      <c r="J22" s="19"/>
      <c r="K22" s="20" t="s">
        <v>75</v>
      </c>
      <c r="M22" s="15" t="s">
        <v>76</v>
      </c>
      <c r="N22" s="16">
        <v>1</v>
      </c>
      <c r="O22" s="17" t="s">
        <v>22</v>
      </c>
      <c r="P22" s="18" t="s">
        <v>77</v>
      </c>
      <c r="Q22" s="19"/>
      <c r="R22" s="13"/>
      <c r="S22" s="19" t="s">
        <v>15</v>
      </c>
      <c r="T22" s="13"/>
      <c r="U22" s="19"/>
      <c r="V22" s="20" t="s">
        <v>78</v>
      </c>
      <c r="X22" s="15" t="s">
        <v>79</v>
      </c>
      <c r="Y22" s="16">
        <v>1</v>
      </c>
      <c r="Z22" s="17" t="s">
        <v>67</v>
      </c>
      <c r="AA22" s="18" t="s">
        <v>80</v>
      </c>
      <c r="AB22" s="19"/>
      <c r="AC22" s="13"/>
      <c r="AD22" s="19" t="s">
        <v>15</v>
      </c>
      <c r="AE22" s="13"/>
      <c r="AF22" s="19"/>
      <c r="AG22" s="20" t="s">
        <v>81</v>
      </c>
    </row>
    <row r="23" spans="2:33" x14ac:dyDescent="0.25">
      <c r="B23" s="8" t="s">
        <v>82</v>
      </c>
      <c r="C23" s="9">
        <v>2</v>
      </c>
      <c r="D23" s="10" t="s">
        <v>39</v>
      </c>
      <c r="E23" s="11" t="s">
        <v>75</v>
      </c>
      <c r="F23" s="12"/>
      <c r="G23" s="13"/>
      <c r="H23" s="12" t="s">
        <v>15</v>
      </c>
      <c r="I23" s="13"/>
      <c r="J23" s="12"/>
      <c r="K23" s="14" t="s">
        <v>65</v>
      </c>
      <c r="M23" s="8" t="s">
        <v>83</v>
      </c>
      <c r="N23" s="9">
        <v>2</v>
      </c>
      <c r="O23" s="10" t="s">
        <v>39</v>
      </c>
      <c r="P23" s="11" t="s">
        <v>77</v>
      </c>
      <c r="Q23" s="12"/>
      <c r="R23" s="13"/>
      <c r="S23" s="12" t="s">
        <v>15</v>
      </c>
      <c r="T23" s="13"/>
      <c r="U23" s="12"/>
      <c r="V23" s="14" t="s">
        <v>68</v>
      </c>
      <c r="X23" s="8" t="s">
        <v>84</v>
      </c>
      <c r="Y23" s="9">
        <v>2</v>
      </c>
      <c r="Z23" s="10" t="s">
        <v>39</v>
      </c>
      <c r="AA23" s="11" t="s">
        <v>71</v>
      </c>
      <c r="AB23" s="12"/>
      <c r="AC23" s="13"/>
      <c r="AD23" s="12" t="s">
        <v>15</v>
      </c>
      <c r="AE23" s="13"/>
      <c r="AF23" s="12"/>
      <c r="AG23" s="14" t="s">
        <v>80</v>
      </c>
    </row>
    <row r="24" spans="2:33" x14ac:dyDescent="0.25">
      <c r="B24" s="15" t="s">
        <v>85</v>
      </c>
      <c r="C24" s="16">
        <v>2</v>
      </c>
      <c r="D24" s="17" t="s">
        <v>41</v>
      </c>
      <c r="E24" s="18" t="s">
        <v>64</v>
      </c>
      <c r="F24" s="19"/>
      <c r="G24" s="13"/>
      <c r="H24" s="19" t="s">
        <v>15</v>
      </c>
      <c r="I24" s="13"/>
      <c r="J24" s="19"/>
      <c r="K24" s="20" t="s">
        <v>74</v>
      </c>
      <c r="M24" s="15" t="s">
        <v>86</v>
      </c>
      <c r="N24" s="16">
        <v>2</v>
      </c>
      <c r="O24" s="17" t="s">
        <v>87</v>
      </c>
      <c r="P24" s="18" t="s">
        <v>69</v>
      </c>
      <c r="Q24" s="19"/>
      <c r="R24" s="13"/>
      <c r="S24" s="19" t="s">
        <v>15</v>
      </c>
      <c r="T24" s="13"/>
      <c r="U24" s="19"/>
      <c r="V24" s="20" t="s">
        <v>78</v>
      </c>
      <c r="X24" s="15" t="s">
        <v>88</v>
      </c>
      <c r="Y24" s="16">
        <v>2</v>
      </c>
      <c r="Z24" s="17" t="s">
        <v>87</v>
      </c>
      <c r="AA24" s="18" t="s">
        <v>81</v>
      </c>
      <c r="AB24" s="19"/>
      <c r="AC24" s="13"/>
      <c r="AD24" s="19" t="s">
        <v>15</v>
      </c>
      <c r="AE24" s="13"/>
      <c r="AF24" s="19"/>
      <c r="AG24" s="20" t="s">
        <v>72</v>
      </c>
    </row>
    <row r="25" spans="2:33" x14ac:dyDescent="0.25">
      <c r="B25" s="8" t="s">
        <v>89</v>
      </c>
      <c r="C25" s="9">
        <v>3</v>
      </c>
      <c r="D25" s="10" t="s">
        <v>90</v>
      </c>
      <c r="E25" s="11" t="s">
        <v>75</v>
      </c>
      <c r="F25" s="12"/>
      <c r="G25" s="13"/>
      <c r="H25" s="12" t="s">
        <v>15</v>
      </c>
      <c r="I25" s="13"/>
      <c r="J25" s="12"/>
      <c r="K25" s="14" t="s">
        <v>64</v>
      </c>
      <c r="M25" s="8" t="s">
        <v>91</v>
      </c>
      <c r="N25" s="9">
        <v>3</v>
      </c>
      <c r="O25" s="10" t="s">
        <v>45</v>
      </c>
      <c r="P25" s="11" t="s">
        <v>78</v>
      </c>
      <c r="Q25" s="12"/>
      <c r="R25" s="13"/>
      <c r="S25" s="12" t="s">
        <v>15</v>
      </c>
      <c r="T25" s="13"/>
      <c r="U25" s="12"/>
      <c r="V25" s="14" t="s">
        <v>68</v>
      </c>
      <c r="X25" s="8" t="s">
        <v>92</v>
      </c>
      <c r="Y25" s="9">
        <v>3</v>
      </c>
      <c r="Z25" s="10" t="s">
        <v>90</v>
      </c>
      <c r="AA25" s="11" t="s">
        <v>72</v>
      </c>
      <c r="AB25" s="12"/>
      <c r="AC25" s="13"/>
      <c r="AD25" s="12" t="s">
        <v>15</v>
      </c>
      <c r="AE25" s="13"/>
      <c r="AF25" s="12"/>
      <c r="AG25" s="14" t="s">
        <v>80</v>
      </c>
    </row>
    <row r="26" spans="2:33" x14ac:dyDescent="0.25">
      <c r="B26" s="15" t="s">
        <v>93</v>
      </c>
      <c r="C26" s="16">
        <v>3</v>
      </c>
      <c r="D26" s="17" t="s">
        <v>90</v>
      </c>
      <c r="E26" s="18" t="s">
        <v>65</v>
      </c>
      <c r="F26" s="19"/>
      <c r="G26" s="13"/>
      <c r="H26" s="19" t="s">
        <v>15</v>
      </c>
      <c r="I26" s="13"/>
      <c r="J26" s="19"/>
      <c r="K26" s="20" t="s">
        <v>74</v>
      </c>
      <c r="M26" s="15" t="s">
        <v>94</v>
      </c>
      <c r="N26" s="16">
        <v>3</v>
      </c>
      <c r="O26" s="17" t="s">
        <v>45</v>
      </c>
      <c r="P26" s="18" t="s">
        <v>69</v>
      </c>
      <c r="Q26" s="19"/>
      <c r="R26" s="13"/>
      <c r="S26" s="19" t="s">
        <v>15</v>
      </c>
      <c r="T26" s="13"/>
      <c r="U26" s="19"/>
      <c r="V26" s="20" t="s">
        <v>77</v>
      </c>
      <c r="X26" s="15" t="s">
        <v>95</v>
      </c>
      <c r="Y26" s="16">
        <v>3</v>
      </c>
      <c r="Z26" s="17" t="s">
        <v>90</v>
      </c>
      <c r="AA26" s="18" t="s">
        <v>81</v>
      </c>
      <c r="AB26" s="19"/>
      <c r="AC26" s="13"/>
      <c r="AD26" s="19" t="s">
        <v>15</v>
      </c>
      <c r="AE26" s="13"/>
      <c r="AF26" s="19"/>
      <c r="AG26" s="20" t="s">
        <v>71</v>
      </c>
    </row>
    <row r="27" spans="2:33" x14ac:dyDescent="0.25">
      <c r="B27" s="41" t="s">
        <v>52</v>
      </c>
      <c r="C27" s="41"/>
      <c r="D27" s="41"/>
      <c r="E27" s="41"/>
      <c r="F27" s="41"/>
      <c r="G27" s="41"/>
      <c r="H27" s="41"/>
      <c r="I27" s="41"/>
      <c r="J27" s="41"/>
      <c r="K27" s="41"/>
      <c r="M27" s="21" t="s">
        <v>52</v>
      </c>
      <c r="N27" s="21"/>
      <c r="O27" s="21"/>
      <c r="P27" s="21"/>
      <c r="Q27" s="21"/>
      <c r="R27" s="21"/>
      <c r="S27" s="21"/>
      <c r="T27" s="21"/>
      <c r="U27" s="21"/>
      <c r="V27" s="21"/>
      <c r="X27" s="22" t="s">
        <v>52</v>
      </c>
      <c r="Y27" s="22"/>
      <c r="Z27" s="22"/>
      <c r="AA27" s="22"/>
      <c r="AB27" s="22"/>
      <c r="AC27" s="22"/>
      <c r="AD27" s="22"/>
      <c r="AE27" s="22"/>
      <c r="AF27" s="22"/>
      <c r="AG27" s="22"/>
    </row>
    <row r="28" spans="2:33" x14ac:dyDescent="0.25">
      <c r="B28" s="24" t="s">
        <v>53</v>
      </c>
      <c r="C28" s="25" t="s">
        <v>54</v>
      </c>
      <c r="D28" s="25"/>
      <c r="E28" s="26" t="s">
        <v>55</v>
      </c>
      <c r="F28" s="26" t="s">
        <v>56</v>
      </c>
      <c r="G28" s="26" t="s">
        <v>57</v>
      </c>
      <c r="H28" s="26" t="s">
        <v>58</v>
      </c>
      <c r="I28" s="26" t="s">
        <v>8</v>
      </c>
      <c r="J28" s="26" t="s">
        <v>10</v>
      </c>
      <c r="K28" s="27" t="s">
        <v>59</v>
      </c>
      <c r="M28" s="24" t="s">
        <v>53</v>
      </c>
      <c r="N28" s="25" t="s">
        <v>54</v>
      </c>
      <c r="O28" s="25"/>
      <c r="P28" s="26" t="s">
        <v>55</v>
      </c>
      <c r="Q28" s="26" t="s">
        <v>56</v>
      </c>
      <c r="R28" s="26" t="s">
        <v>57</v>
      </c>
      <c r="S28" s="26" t="s">
        <v>58</v>
      </c>
      <c r="T28" s="26" t="s">
        <v>8</v>
      </c>
      <c r="U28" s="26" t="s">
        <v>10</v>
      </c>
      <c r="V28" s="27" t="s">
        <v>59</v>
      </c>
      <c r="X28" s="24" t="s">
        <v>53</v>
      </c>
      <c r="Y28" s="25" t="s">
        <v>54</v>
      </c>
      <c r="Z28" s="25"/>
      <c r="AA28" s="26" t="s">
        <v>55</v>
      </c>
      <c r="AB28" s="26" t="s">
        <v>56</v>
      </c>
      <c r="AC28" s="26" t="s">
        <v>57</v>
      </c>
      <c r="AD28" s="26" t="s">
        <v>58</v>
      </c>
      <c r="AE28" s="26" t="s">
        <v>8</v>
      </c>
      <c r="AF28" s="26" t="s">
        <v>10</v>
      </c>
      <c r="AG28" s="27" t="s">
        <v>59</v>
      </c>
    </row>
    <row r="29" spans="2:33" x14ac:dyDescent="0.25">
      <c r="B29" s="28">
        <v>1</v>
      </c>
      <c r="C29" s="29">
        <f>INDEX(CALC!$B$14:$B$17,MATCH(LARGE(CALC!$K$14:$K$17,1),CALC!$K$14:$K$17,0))</f>
      </c>
      <c r="D29" s="29"/>
      <c r="E29" s="30">
        <f>INDEX(CALC!$C$14:$C$17,MATCH(LARGE(CALC!$K$14:$K$17,1),CALC!$K$14:$K$17,0))</f>
      </c>
      <c r="F29" s="30">
        <f>INDEX(CALC!$D$14:$D$17,MATCH(LARGE(CALC!$K$14:$K$17,1),CALC!$K$14:$K$17,0))</f>
      </c>
      <c r="G29" s="30">
        <f>INDEX(CALC!$E$14:$E$17,MATCH(LARGE(CALC!$K$14:$K$17,1),CALC!$K$14:$K$17,0))</f>
      </c>
      <c r="H29" s="30">
        <f>INDEX(CALC!$F$14:$F$17,MATCH(LARGE(CALC!$K$14:$K$17,1),CALC!$K$14:$K$17,0))</f>
      </c>
      <c r="I29" s="30">
        <f>INDEX(CALC!$G$14:$G$17,MATCH(LARGE(CALC!$K$14:$K$17,1),CALC!$K$14:$K$17,0))</f>
      </c>
      <c r="J29" s="30">
        <f>INDEX(CALC!$H$14:$H$17,MATCH(LARGE(CALC!$K$14:$K$17,1),CALC!$K$14:$K$17,0))</f>
      </c>
      <c r="K29" s="31">
        <f>INDEX(CALC!$J$14:$J$17,MATCH(LARGE(CALC!$K$14:$K$17,1),CALC!$K$14:$K$17,0))</f>
      </c>
      <c r="M29" s="28">
        <v>1</v>
      </c>
      <c r="N29" s="29">
        <f>INDEX(CALC!$B$18:$B$21,MATCH(LARGE(CALC!$K$18:$K$21,1),CALC!$K$18:$K$21,0))</f>
      </c>
      <c r="O29" s="29"/>
      <c r="P29" s="30">
        <f>INDEX(CALC!$C$18:$C$21,MATCH(LARGE(CALC!$K$18:$K$21,1),CALC!$K$18:$K$21,0))</f>
      </c>
      <c r="Q29" s="30">
        <f>INDEX(CALC!$D$18:$D$21,MATCH(LARGE(CALC!$K$18:$K$21,1),CALC!$K$18:$K$21,0))</f>
      </c>
      <c r="R29" s="30">
        <f>INDEX(CALC!$E$18:$E$21,MATCH(LARGE(CALC!$K$18:$K$21,1),CALC!$K$18:$K$21,0))</f>
      </c>
      <c r="S29" s="30">
        <f>INDEX(CALC!$F$18:$F$21,MATCH(LARGE(CALC!$K$18:$K$21,1),CALC!$K$18:$K$21,0))</f>
      </c>
      <c r="T29" s="30">
        <f>INDEX(CALC!$G$18:$G$21,MATCH(LARGE(CALC!$K$18:$K$21,1),CALC!$K$18:$K$21,0))</f>
      </c>
      <c r="U29" s="30">
        <f>INDEX(CALC!$H$18:$H$21,MATCH(LARGE(CALC!$K$18:$K$21,1),CALC!$K$18:$K$21,0))</f>
      </c>
      <c r="V29" s="31">
        <f>INDEX(CALC!$J$18:$J$21,MATCH(LARGE(CALC!$K$18:$K$21,1),CALC!$K$18:$K$21,0))</f>
      </c>
      <c r="X29" s="28">
        <v>1</v>
      </c>
      <c r="Y29" s="29">
        <f>INDEX(CALC!$B$22:$B$25,MATCH(LARGE(CALC!$K$22:$K$25,1),CALC!$K$22:$K$25,0))</f>
      </c>
      <c r="Z29" s="29"/>
      <c r="AA29" s="30">
        <f>INDEX(CALC!$C$22:$C$25,MATCH(LARGE(CALC!$K$22:$K$25,1),CALC!$K$22:$K$25,0))</f>
      </c>
      <c r="AB29" s="30">
        <f>INDEX(CALC!$D$22:$D$25,MATCH(LARGE(CALC!$K$22:$K$25,1),CALC!$K$22:$K$25,0))</f>
      </c>
      <c r="AC29" s="30">
        <f>INDEX(CALC!$E$22:$E$25,MATCH(LARGE(CALC!$K$22:$K$25,1),CALC!$K$22:$K$25,0))</f>
      </c>
      <c r="AD29" s="30">
        <f>INDEX(CALC!$F$22:$F$25,MATCH(LARGE(CALC!$K$22:$K$25,1),CALC!$K$22:$K$25,0))</f>
      </c>
      <c r="AE29" s="30">
        <f>INDEX(CALC!$G$22:$G$25,MATCH(LARGE(CALC!$K$22:$K$25,1),CALC!$K$22:$K$25,0))</f>
      </c>
      <c r="AF29" s="30">
        <f>INDEX(CALC!$H$22:$H$25,MATCH(LARGE(CALC!$K$22:$K$25,1),CALC!$K$22:$K$25,0))</f>
      </c>
      <c r="AG29" s="31">
        <f>INDEX(CALC!$J$22:$J$25,MATCH(LARGE(CALC!$K$22:$K$25,1),CALC!$K$22:$K$25,0))</f>
      </c>
    </row>
    <row r="30" spans="2:33" x14ac:dyDescent="0.25">
      <c r="B30" s="28">
        <v>2</v>
      </c>
      <c r="C30" s="29">
        <f>INDEX(CALC!$B$14:$B$17,MATCH(LARGE(CALC!$K$14:$K$17,2),CALC!$K$14:$K$17,0))</f>
      </c>
      <c r="D30" s="29"/>
      <c r="E30" s="30">
        <f>INDEX(CALC!$C$14:$C$17,MATCH(LARGE(CALC!$K$14:$K$17,2),CALC!$K$14:$K$17,0))</f>
      </c>
      <c r="F30" s="30">
        <f>INDEX(CALC!$D$14:$D$17,MATCH(LARGE(CALC!$K$14:$K$17,2),CALC!$K$14:$K$17,0))</f>
      </c>
      <c r="G30" s="30">
        <f>INDEX(CALC!$E$14:$E$17,MATCH(LARGE(CALC!$K$14:$K$17,2),CALC!$K$14:$K$17,0))</f>
      </c>
      <c r="H30" s="30">
        <f>INDEX(CALC!$F$14:$F$17,MATCH(LARGE(CALC!$K$14:$K$17,2),CALC!$K$14:$K$17,0))</f>
      </c>
      <c r="I30" s="30">
        <f>INDEX(CALC!$G$14:$G$17,MATCH(LARGE(CALC!$K$14:$K$17,2),CALC!$K$14:$K$17,0))</f>
      </c>
      <c r="J30" s="30">
        <f>INDEX(CALC!$H$14:$H$17,MATCH(LARGE(CALC!$K$14:$K$17,2),CALC!$K$14:$K$17,0))</f>
      </c>
      <c r="K30" s="31">
        <f>INDEX(CALC!$J$14:$J$17,MATCH(LARGE(CALC!$K$14:$K$17,2),CALC!$K$14:$K$17,0))</f>
      </c>
      <c r="M30" s="28">
        <v>2</v>
      </c>
      <c r="N30" s="29">
        <f>INDEX(CALC!$B$18:$B$21,MATCH(LARGE(CALC!$K$18:$K$21,2),CALC!$K$18:$K$21,0))</f>
      </c>
      <c r="O30" s="29"/>
      <c r="P30" s="30">
        <f>INDEX(CALC!$C$18:$C$21,MATCH(LARGE(CALC!$K$18:$K$21,2),CALC!$K$18:$K$21,0))</f>
      </c>
      <c r="Q30" s="30">
        <f>INDEX(CALC!$D$18:$D$21,MATCH(LARGE(CALC!$K$18:$K$21,2),CALC!$K$18:$K$21,0))</f>
      </c>
      <c r="R30" s="30">
        <f>INDEX(CALC!$E$18:$E$21,MATCH(LARGE(CALC!$K$18:$K$21,2),CALC!$K$18:$K$21,0))</f>
      </c>
      <c r="S30" s="30">
        <f>INDEX(CALC!$F$18:$F$21,MATCH(LARGE(CALC!$K$18:$K$21,2),CALC!$K$18:$K$21,0))</f>
      </c>
      <c r="T30" s="30">
        <f>INDEX(CALC!$G$18:$G$21,MATCH(LARGE(CALC!$K$18:$K$21,2),CALC!$K$18:$K$21,0))</f>
      </c>
      <c r="U30" s="30">
        <f>INDEX(CALC!$H$18:$H$21,MATCH(LARGE(CALC!$K$18:$K$21,2),CALC!$K$18:$K$21,0))</f>
      </c>
      <c r="V30" s="31">
        <f>INDEX(CALC!$J$18:$J$21,MATCH(LARGE(CALC!$K$18:$K$21,2),CALC!$K$18:$K$21,0))</f>
      </c>
      <c r="X30" s="28">
        <v>2</v>
      </c>
      <c r="Y30" s="29">
        <f>INDEX(CALC!$B$22:$B$25,MATCH(LARGE(CALC!$K$22:$K$25,2),CALC!$K$22:$K$25,0))</f>
      </c>
      <c r="Z30" s="29"/>
      <c r="AA30" s="30">
        <f>INDEX(CALC!$C$22:$C$25,MATCH(LARGE(CALC!$K$22:$K$25,2),CALC!$K$22:$K$25,0))</f>
      </c>
      <c r="AB30" s="30">
        <f>INDEX(CALC!$D$22:$D$25,MATCH(LARGE(CALC!$K$22:$K$25,2),CALC!$K$22:$K$25,0))</f>
      </c>
      <c r="AC30" s="30">
        <f>INDEX(CALC!$E$22:$E$25,MATCH(LARGE(CALC!$K$22:$K$25,2),CALC!$K$22:$K$25,0))</f>
      </c>
      <c r="AD30" s="30">
        <f>INDEX(CALC!$F$22:$F$25,MATCH(LARGE(CALC!$K$22:$K$25,2),CALC!$K$22:$K$25,0))</f>
      </c>
      <c r="AE30" s="30">
        <f>INDEX(CALC!$G$22:$G$25,MATCH(LARGE(CALC!$K$22:$K$25,2),CALC!$K$22:$K$25,0))</f>
      </c>
      <c r="AF30" s="30">
        <f>INDEX(CALC!$H$22:$H$25,MATCH(LARGE(CALC!$K$22:$K$25,2),CALC!$K$22:$K$25,0))</f>
      </c>
      <c r="AG30" s="31">
        <f>INDEX(CALC!$J$22:$J$25,MATCH(LARGE(CALC!$K$22:$K$25,2),CALC!$K$22:$K$25,0))</f>
      </c>
    </row>
    <row r="31" spans="2:33" x14ac:dyDescent="0.25">
      <c r="B31" s="32">
        <v>3</v>
      </c>
      <c r="C31" s="33">
        <f>INDEX(CALC!$B$14:$B$17,MATCH(LARGE(CALC!$K$14:$K$17,3),CALC!$K$14:$K$17,0))</f>
      </c>
      <c r="D31" s="33"/>
      <c r="E31" s="34">
        <f>INDEX(CALC!$C$14:$C$17,MATCH(LARGE(CALC!$K$14:$K$17,3),CALC!$K$14:$K$17,0))</f>
      </c>
      <c r="F31" s="34">
        <f>INDEX(CALC!$D$14:$D$17,MATCH(LARGE(CALC!$K$14:$K$17,3),CALC!$K$14:$K$17,0))</f>
      </c>
      <c r="G31" s="34">
        <f>INDEX(CALC!$E$14:$E$17,MATCH(LARGE(CALC!$K$14:$K$17,3),CALC!$K$14:$K$17,0))</f>
      </c>
      <c r="H31" s="34">
        <f>INDEX(CALC!$F$14:$F$17,MATCH(LARGE(CALC!$K$14:$K$17,3),CALC!$K$14:$K$17,0))</f>
      </c>
      <c r="I31" s="34">
        <f>INDEX(CALC!$G$14:$G$17,MATCH(LARGE(CALC!$K$14:$K$17,3),CALC!$K$14:$K$17,0))</f>
      </c>
      <c r="J31" s="34">
        <f>INDEX(CALC!$H$14:$H$17,MATCH(LARGE(CALC!$K$14:$K$17,3),CALC!$K$14:$K$17,0))</f>
      </c>
      <c r="K31" s="35">
        <f>INDEX(CALC!$J$14:$J$17,MATCH(LARGE(CALC!$K$14:$K$17,3),CALC!$K$14:$K$17,0))</f>
      </c>
      <c r="M31" s="32">
        <v>3</v>
      </c>
      <c r="N31" s="33">
        <f>INDEX(CALC!$B$18:$B$21,MATCH(LARGE(CALC!$K$18:$K$21,3),CALC!$K$18:$K$21,0))</f>
      </c>
      <c r="O31" s="33"/>
      <c r="P31" s="34">
        <f>INDEX(CALC!$C$18:$C$21,MATCH(LARGE(CALC!$K$18:$K$21,3),CALC!$K$18:$K$21,0))</f>
      </c>
      <c r="Q31" s="34">
        <f>INDEX(CALC!$D$18:$D$21,MATCH(LARGE(CALC!$K$18:$K$21,3),CALC!$K$18:$K$21,0))</f>
      </c>
      <c r="R31" s="34">
        <f>INDEX(CALC!$E$18:$E$21,MATCH(LARGE(CALC!$K$18:$K$21,3),CALC!$K$18:$K$21,0))</f>
      </c>
      <c r="S31" s="34">
        <f>INDEX(CALC!$F$18:$F$21,MATCH(LARGE(CALC!$K$18:$K$21,3),CALC!$K$18:$K$21,0))</f>
      </c>
      <c r="T31" s="34">
        <f>INDEX(CALC!$G$18:$G$21,MATCH(LARGE(CALC!$K$18:$K$21,3),CALC!$K$18:$K$21,0))</f>
      </c>
      <c r="U31" s="34">
        <f>INDEX(CALC!$H$18:$H$21,MATCH(LARGE(CALC!$K$18:$K$21,3),CALC!$K$18:$K$21,0))</f>
      </c>
      <c r="V31" s="35">
        <f>INDEX(CALC!$J$18:$J$21,MATCH(LARGE(CALC!$K$18:$K$21,3),CALC!$K$18:$K$21,0))</f>
      </c>
      <c r="X31" s="32">
        <v>3</v>
      </c>
      <c r="Y31" s="33">
        <f>INDEX(CALC!$B$22:$B$25,MATCH(LARGE(CALC!$K$22:$K$25,3),CALC!$K$22:$K$25,0))</f>
      </c>
      <c r="Z31" s="33"/>
      <c r="AA31" s="34">
        <f>INDEX(CALC!$C$22:$C$25,MATCH(LARGE(CALC!$K$22:$K$25,3),CALC!$K$22:$K$25,0))</f>
      </c>
      <c r="AB31" s="34">
        <f>INDEX(CALC!$D$22:$D$25,MATCH(LARGE(CALC!$K$22:$K$25,3),CALC!$K$22:$K$25,0))</f>
      </c>
      <c r="AC31" s="34">
        <f>INDEX(CALC!$E$22:$E$25,MATCH(LARGE(CALC!$K$22:$K$25,3),CALC!$K$22:$K$25,0))</f>
      </c>
      <c r="AD31" s="34">
        <f>INDEX(CALC!$F$22:$F$25,MATCH(LARGE(CALC!$K$22:$K$25,3),CALC!$K$22:$K$25,0))</f>
      </c>
      <c r="AE31" s="34">
        <f>INDEX(CALC!$G$22:$G$25,MATCH(LARGE(CALC!$K$22:$K$25,3),CALC!$K$22:$K$25,0))</f>
      </c>
      <c r="AF31" s="34">
        <f>INDEX(CALC!$H$22:$H$25,MATCH(LARGE(CALC!$K$22:$K$25,3),CALC!$K$22:$K$25,0))</f>
      </c>
      <c r="AG31" s="35">
        <f>INDEX(CALC!$J$22:$J$25,MATCH(LARGE(CALC!$K$22:$K$25,3),CALC!$K$22:$K$25,0))</f>
      </c>
    </row>
    <row r="32" spans="2:33" x14ac:dyDescent="0.25">
      <c r="B32" s="36">
        <v>4</v>
      </c>
      <c r="C32" s="37">
        <f>INDEX(CALC!$B$14:$B$17,MATCH(LARGE(CALC!$K$14:$K$17,4),CALC!$K$14:$K$17,0))</f>
      </c>
      <c r="D32" s="37"/>
      <c r="E32" s="38">
        <f>INDEX(CALC!$C$14:$C$17,MATCH(LARGE(CALC!$K$14:$K$17,4),CALC!$K$14:$K$17,0))</f>
      </c>
      <c r="F32" s="38">
        <f>INDEX(CALC!$D$14:$D$17,MATCH(LARGE(CALC!$K$14:$K$17,4),CALC!$K$14:$K$17,0))</f>
      </c>
      <c r="G32" s="38">
        <f>INDEX(CALC!$E$14:$E$17,MATCH(LARGE(CALC!$K$14:$K$17,4),CALC!$K$14:$K$17,0))</f>
      </c>
      <c r="H32" s="38">
        <f>INDEX(CALC!$F$14:$F$17,MATCH(LARGE(CALC!$K$14:$K$17,4),CALC!$K$14:$K$17,0))</f>
      </c>
      <c r="I32" s="38">
        <f>INDEX(CALC!$G$14:$G$17,MATCH(LARGE(CALC!$K$14:$K$17,4),CALC!$K$14:$K$17,0))</f>
      </c>
      <c r="J32" s="38">
        <f>INDEX(CALC!$H$14:$H$17,MATCH(LARGE(CALC!$K$14:$K$17,4),CALC!$K$14:$K$17,0))</f>
      </c>
      <c r="K32" s="39">
        <f>INDEX(CALC!$J$14:$J$17,MATCH(LARGE(CALC!$K$14:$K$17,4),CALC!$K$14:$K$17,0))</f>
      </c>
      <c r="M32" s="36">
        <v>4</v>
      </c>
      <c r="N32" s="37">
        <f>INDEX(CALC!$B$18:$B$21,MATCH(LARGE(CALC!$K$18:$K$21,4),CALC!$K$18:$K$21,0))</f>
      </c>
      <c r="O32" s="37"/>
      <c r="P32" s="38">
        <f>INDEX(CALC!$C$18:$C$21,MATCH(LARGE(CALC!$K$18:$K$21,4),CALC!$K$18:$K$21,0))</f>
      </c>
      <c r="Q32" s="38">
        <f>INDEX(CALC!$D$18:$D$21,MATCH(LARGE(CALC!$K$18:$K$21,4),CALC!$K$18:$K$21,0))</f>
      </c>
      <c r="R32" s="38">
        <f>INDEX(CALC!$E$18:$E$21,MATCH(LARGE(CALC!$K$18:$K$21,4),CALC!$K$18:$K$21,0))</f>
      </c>
      <c r="S32" s="38">
        <f>INDEX(CALC!$F$18:$F$21,MATCH(LARGE(CALC!$K$18:$K$21,4),CALC!$K$18:$K$21,0))</f>
      </c>
      <c r="T32" s="38">
        <f>INDEX(CALC!$G$18:$G$21,MATCH(LARGE(CALC!$K$18:$K$21,4),CALC!$K$18:$K$21,0))</f>
      </c>
      <c r="U32" s="38">
        <f>INDEX(CALC!$H$18:$H$21,MATCH(LARGE(CALC!$K$18:$K$21,4),CALC!$K$18:$K$21,0))</f>
      </c>
      <c r="V32" s="39">
        <f>INDEX(CALC!$J$18:$J$21,MATCH(LARGE(CALC!$K$18:$K$21,4),CALC!$K$18:$K$21,0))</f>
      </c>
      <c r="X32" s="36">
        <v>4</v>
      </c>
      <c r="Y32" s="37">
        <f>INDEX(CALC!$B$22:$B$25,MATCH(LARGE(CALC!$K$22:$K$25,4),CALC!$K$22:$K$25,0))</f>
      </c>
      <c r="Z32" s="37"/>
      <c r="AA32" s="38">
        <f>INDEX(CALC!$C$22:$C$25,MATCH(LARGE(CALC!$K$22:$K$25,4),CALC!$K$22:$K$25,0))</f>
      </c>
      <c r="AB32" s="38">
        <f>INDEX(CALC!$D$22:$D$25,MATCH(LARGE(CALC!$K$22:$K$25,4),CALC!$K$22:$K$25,0))</f>
      </c>
      <c r="AC32" s="38">
        <f>INDEX(CALC!$E$22:$E$25,MATCH(LARGE(CALC!$K$22:$K$25,4),CALC!$K$22:$K$25,0))</f>
      </c>
      <c r="AD32" s="38">
        <f>INDEX(CALC!$F$22:$F$25,MATCH(LARGE(CALC!$K$22:$K$25,4),CALC!$K$22:$K$25,0))</f>
      </c>
      <c r="AE32" s="38">
        <f>INDEX(CALC!$G$22:$G$25,MATCH(LARGE(CALC!$K$22:$K$25,4),CALC!$K$22:$K$25,0))</f>
      </c>
      <c r="AF32" s="38">
        <f>INDEX(CALC!$H$22:$H$25,MATCH(LARGE(CALC!$K$22:$K$25,4),CALC!$K$22:$K$25,0))</f>
      </c>
      <c r="AG32" s="39">
        <f>INDEX(CALC!$J$22:$J$25,MATCH(LARGE(CALC!$K$22:$K$25,4),CALC!$K$22:$K$25,0))</f>
      </c>
    </row>
    <row r="36" spans="2:33" x14ac:dyDescent="0.25">
      <c r="B36" s="4" t="s">
        <v>96</v>
      </c>
      <c r="C36" s="4"/>
      <c r="D36" s="4"/>
      <c r="E36" s="4"/>
      <c r="F36" s="4"/>
      <c r="G36" s="4"/>
      <c r="H36" s="4"/>
      <c r="I36" s="2">
        <f>COUNTA($G$38:$G$43)&amp;"/6"</f>
      </c>
      <c r="J36" s="2"/>
      <c r="K36" s="2"/>
      <c r="M36" s="40" t="s">
        <v>97</v>
      </c>
      <c r="N36" s="40"/>
      <c r="O36" s="40"/>
      <c r="P36" s="40"/>
      <c r="Q36" s="40"/>
      <c r="R36" s="40"/>
      <c r="S36" s="40"/>
      <c r="T36" s="2">
        <f>COUNTA($R$38:$R$43)&amp;"/6"</f>
      </c>
      <c r="U36" s="2"/>
      <c r="V36" s="2"/>
      <c r="X36" s="1" t="s">
        <v>98</v>
      </c>
      <c r="Y36" s="1"/>
      <c r="Z36" s="1"/>
      <c r="AA36" s="1"/>
      <c r="AB36" s="1"/>
      <c r="AC36" s="1"/>
      <c r="AD36" s="1"/>
      <c r="AE36" s="2">
        <f>COUNTA($AC$38:$AC$43)&amp;"/6"</f>
      </c>
      <c r="AF36" s="2"/>
      <c r="AG36" s="2"/>
    </row>
    <row r="37" spans="2:33" x14ac:dyDescent="0.25">
      <c r="B37" s="5" t="s">
        <v>3</v>
      </c>
      <c r="C37" s="6" t="s">
        <v>4</v>
      </c>
      <c r="D37" s="6" t="s">
        <v>5</v>
      </c>
      <c r="E37" s="6" t="s">
        <v>6</v>
      </c>
      <c r="F37" s="6" t="s">
        <v>7</v>
      </c>
      <c r="G37" s="6" t="s">
        <v>8</v>
      </c>
      <c r="H37" s="6" t="s">
        <v>9</v>
      </c>
      <c r="I37" s="6" t="s">
        <v>10</v>
      </c>
      <c r="J37" s="6" t="s">
        <v>7</v>
      </c>
      <c r="K37" s="7" t="s">
        <v>11</v>
      </c>
      <c r="M37" s="5" t="s">
        <v>3</v>
      </c>
      <c r="N37" s="6" t="s">
        <v>4</v>
      </c>
      <c r="O37" s="6" t="s">
        <v>5</v>
      </c>
      <c r="P37" s="6" t="s">
        <v>6</v>
      </c>
      <c r="Q37" s="6" t="s">
        <v>7</v>
      </c>
      <c r="R37" s="6" t="s">
        <v>8</v>
      </c>
      <c r="S37" s="6" t="s">
        <v>9</v>
      </c>
      <c r="T37" s="6" t="s">
        <v>10</v>
      </c>
      <c r="U37" s="6" t="s">
        <v>7</v>
      </c>
      <c r="V37" s="7" t="s">
        <v>11</v>
      </c>
      <c r="X37" s="5" t="s">
        <v>3</v>
      </c>
      <c r="Y37" s="6" t="s">
        <v>4</v>
      </c>
      <c r="Z37" s="6" t="s">
        <v>5</v>
      </c>
      <c r="AA37" s="6" t="s">
        <v>6</v>
      </c>
      <c r="AB37" s="6" t="s">
        <v>7</v>
      </c>
      <c r="AC37" s="6" t="s">
        <v>8</v>
      </c>
      <c r="AD37" s="6" t="s">
        <v>9</v>
      </c>
      <c r="AE37" s="6" t="s">
        <v>10</v>
      </c>
      <c r="AF37" s="6" t="s">
        <v>7</v>
      </c>
      <c r="AG37" s="7" t="s">
        <v>11</v>
      </c>
    </row>
    <row r="38" spans="2:33" x14ac:dyDescent="0.25">
      <c r="B38" s="8" t="s">
        <v>99</v>
      </c>
      <c r="C38" s="9">
        <v>1</v>
      </c>
      <c r="D38" s="10" t="s">
        <v>100</v>
      </c>
      <c r="E38" s="11" t="s">
        <v>101</v>
      </c>
      <c r="F38" s="12"/>
      <c r="G38" s="13"/>
      <c r="H38" s="12" t="s">
        <v>15</v>
      </c>
      <c r="I38" s="13"/>
      <c r="J38" s="12"/>
      <c r="K38" s="14" t="s">
        <v>102</v>
      </c>
      <c r="M38" s="8" t="s">
        <v>103</v>
      </c>
      <c r="N38" s="9">
        <v>1</v>
      </c>
      <c r="O38" s="10" t="s">
        <v>100</v>
      </c>
      <c r="P38" s="11" t="s">
        <v>104</v>
      </c>
      <c r="Q38" s="12"/>
      <c r="R38" s="13"/>
      <c r="S38" s="12" t="s">
        <v>15</v>
      </c>
      <c r="T38" s="13"/>
      <c r="U38" s="12"/>
      <c r="V38" s="14" t="s">
        <v>105</v>
      </c>
      <c r="X38" s="8" t="s">
        <v>106</v>
      </c>
      <c r="Y38" s="9">
        <v>1</v>
      </c>
      <c r="Z38" s="10" t="s">
        <v>100</v>
      </c>
      <c r="AA38" s="11" t="s">
        <v>107</v>
      </c>
      <c r="AB38" s="12"/>
      <c r="AC38" s="13"/>
      <c r="AD38" s="12" t="s">
        <v>15</v>
      </c>
      <c r="AE38" s="13"/>
      <c r="AF38" s="12"/>
      <c r="AG38" s="14" t="s">
        <v>108</v>
      </c>
    </row>
    <row r="39" spans="2:33" x14ac:dyDescent="0.25">
      <c r="B39" s="15" t="s">
        <v>109</v>
      </c>
      <c r="C39" s="16">
        <v>1</v>
      </c>
      <c r="D39" s="17" t="s">
        <v>67</v>
      </c>
      <c r="E39" s="18" t="s">
        <v>110</v>
      </c>
      <c r="F39" s="19"/>
      <c r="G39" s="13"/>
      <c r="H39" s="19" t="s">
        <v>15</v>
      </c>
      <c r="I39" s="13"/>
      <c r="J39" s="19"/>
      <c r="K39" s="20" t="s">
        <v>111</v>
      </c>
      <c r="M39" s="15" t="s">
        <v>112</v>
      </c>
      <c r="N39" s="16">
        <v>1</v>
      </c>
      <c r="O39" s="17" t="s">
        <v>67</v>
      </c>
      <c r="P39" s="18" t="s">
        <v>113</v>
      </c>
      <c r="Q39" s="19"/>
      <c r="R39" s="13"/>
      <c r="S39" s="19" t="s">
        <v>15</v>
      </c>
      <c r="T39" s="13"/>
      <c r="U39" s="19"/>
      <c r="V39" s="20" t="s">
        <v>114</v>
      </c>
      <c r="X39" s="15" t="s">
        <v>115</v>
      </c>
      <c r="Y39" s="16">
        <v>1</v>
      </c>
      <c r="Z39" s="17" t="s">
        <v>116</v>
      </c>
      <c r="AA39" s="18" t="s">
        <v>117</v>
      </c>
      <c r="AB39" s="19"/>
      <c r="AC39" s="13"/>
      <c r="AD39" s="19" t="s">
        <v>15</v>
      </c>
      <c r="AE39" s="13"/>
      <c r="AF39" s="19"/>
      <c r="AG39" s="20" t="s">
        <v>118</v>
      </c>
    </row>
    <row r="40" spans="2:33" x14ac:dyDescent="0.25">
      <c r="B40" s="8" t="s">
        <v>119</v>
      </c>
      <c r="C40" s="9">
        <v>2</v>
      </c>
      <c r="D40" s="10" t="s">
        <v>87</v>
      </c>
      <c r="E40" s="11" t="s">
        <v>110</v>
      </c>
      <c r="F40" s="12"/>
      <c r="G40" s="13"/>
      <c r="H40" s="12" t="s">
        <v>15</v>
      </c>
      <c r="I40" s="13"/>
      <c r="J40" s="12"/>
      <c r="K40" s="14" t="s">
        <v>101</v>
      </c>
      <c r="M40" s="8" t="s">
        <v>120</v>
      </c>
      <c r="N40" s="9">
        <v>2</v>
      </c>
      <c r="O40" s="10" t="s">
        <v>121</v>
      </c>
      <c r="P40" s="11" t="s">
        <v>105</v>
      </c>
      <c r="Q40" s="12"/>
      <c r="R40" s="13"/>
      <c r="S40" s="12" t="s">
        <v>15</v>
      </c>
      <c r="T40" s="13"/>
      <c r="U40" s="12"/>
      <c r="V40" s="14" t="s">
        <v>114</v>
      </c>
      <c r="X40" s="8" t="s">
        <v>122</v>
      </c>
      <c r="Y40" s="9">
        <v>2</v>
      </c>
      <c r="Z40" s="10" t="s">
        <v>123</v>
      </c>
      <c r="AA40" s="11" t="s">
        <v>118</v>
      </c>
      <c r="AB40" s="12"/>
      <c r="AC40" s="13"/>
      <c r="AD40" s="12" t="s">
        <v>15</v>
      </c>
      <c r="AE40" s="13"/>
      <c r="AF40" s="12"/>
      <c r="AG40" s="14" t="s">
        <v>108</v>
      </c>
    </row>
    <row r="41" spans="2:33" x14ac:dyDescent="0.25">
      <c r="B41" s="15" t="s">
        <v>124</v>
      </c>
      <c r="C41" s="16">
        <v>2</v>
      </c>
      <c r="D41" s="17" t="s">
        <v>121</v>
      </c>
      <c r="E41" s="18" t="s">
        <v>102</v>
      </c>
      <c r="F41" s="19"/>
      <c r="G41" s="13"/>
      <c r="H41" s="19" t="s">
        <v>15</v>
      </c>
      <c r="I41" s="13"/>
      <c r="J41" s="19"/>
      <c r="K41" s="20" t="s">
        <v>111</v>
      </c>
      <c r="M41" s="15" t="s">
        <v>125</v>
      </c>
      <c r="N41" s="16">
        <v>2</v>
      </c>
      <c r="O41" s="17" t="s">
        <v>87</v>
      </c>
      <c r="P41" s="18" t="s">
        <v>113</v>
      </c>
      <c r="Q41" s="19"/>
      <c r="R41" s="13"/>
      <c r="S41" s="19" t="s">
        <v>15</v>
      </c>
      <c r="T41" s="13"/>
      <c r="U41" s="19"/>
      <c r="V41" s="20" t="s">
        <v>104</v>
      </c>
      <c r="X41" s="15" t="s">
        <v>126</v>
      </c>
      <c r="Y41" s="16">
        <v>2</v>
      </c>
      <c r="Z41" s="17" t="s">
        <v>121</v>
      </c>
      <c r="AA41" s="18" t="s">
        <v>107</v>
      </c>
      <c r="AB41" s="19"/>
      <c r="AC41" s="13"/>
      <c r="AD41" s="19" t="s">
        <v>15</v>
      </c>
      <c r="AE41" s="13"/>
      <c r="AF41" s="19"/>
      <c r="AG41" s="20" t="s">
        <v>117</v>
      </c>
    </row>
    <row r="42" spans="2:33" x14ac:dyDescent="0.25">
      <c r="B42" s="8" t="s">
        <v>127</v>
      </c>
      <c r="C42" s="9">
        <v>3</v>
      </c>
      <c r="D42" s="10" t="s">
        <v>128</v>
      </c>
      <c r="E42" s="11" t="s">
        <v>111</v>
      </c>
      <c r="F42" s="12"/>
      <c r="G42" s="13"/>
      <c r="H42" s="12" t="s">
        <v>15</v>
      </c>
      <c r="I42" s="13"/>
      <c r="J42" s="12"/>
      <c r="K42" s="14" t="s">
        <v>101</v>
      </c>
      <c r="M42" s="8" t="s">
        <v>129</v>
      </c>
      <c r="N42" s="9">
        <v>3</v>
      </c>
      <c r="O42" s="10" t="s">
        <v>128</v>
      </c>
      <c r="P42" s="11" t="s">
        <v>114</v>
      </c>
      <c r="Q42" s="12"/>
      <c r="R42" s="13"/>
      <c r="S42" s="12" t="s">
        <v>15</v>
      </c>
      <c r="T42" s="13"/>
      <c r="U42" s="12"/>
      <c r="V42" s="14" t="s">
        <v>104</v>
      </c>
      <c r="X42" s="8" t="s">
        <v>130</v>
      </c>
      <c r="Y42" s="9">
        <v>3</v>
      </c>
      <c r="Z42" s="10" t="s">
        <v>90</v>
      </c>
      <c r="AA42" s="11" t="s">
        <v>118</v>
      </c>
      <c r="AB42" s="12"/>
      <c r="AC42" s="13"/>
      <c r="AD42" s="12" t="s">
        <v>15</v>
      </c>
      <c r="AE42" s="13"/>
      <c r="AF42" s="12"/>
      <c r="AG42" s="14" t="s">
        <v>107</v>
      </c>
    </row>
    <row r="43" spans="2:33" x14ac:dyDescent="0.25">
      <c r="B43" s="15" t="s">
        <v>131</v>
      </c>
      <c r="C43" s="16">
        <v>3</v>
      </c>
      <c r="D43" s="17" t="s">
        <v>128</v>
      </c>
      <c r="E43" s="18" t="s">
        <v>102</v>
      </c>
      <c r="F43" s="19"/>
      <c r="G43" s="13"/>
      <c r="H43" s="19" t="s">
        <v>15</v>
      </c>
      <c r="I43" s="13"/>
      <c r="J43" s="19"/>
      <c r="K43" s="20" t="s">
        <v>110</v>
      </c>
      <c r="M43" s="15" t="s">
        <v>132</v>
      </c>
      <c r="N43" s="16">
        <v>3</v>
      </c>
      <c r="O43" s="17" t="s">
        <v>128</v>
      </c>
      <c r="P43" s="18" t="s">
        <v>105</v>
      </c>
      <c r="Q43" s="19"/>
      <c r="R43" s="13"/>
      <c r="S43" s="19" t="s">
        <v>15</v>
      </c>
      <c r="T43" s="13"/>
      <c r="U43" s="19"/>
      <c r="V43" s="20" t="s">
        <v>113</v>
      </c>
      <c r="X43" s="15" t="s">
        <v>133</v>
      </c>
      <c r="Y43" s="16">
        <v>3</v>
      </c>
      <c r="Z43" s="17" t="s">
        <v>90</v>
      </c>
      <c r="AA43" s="18" t="s">
        <v>108</v>
      </c>
      <c r="AB43" s="19"/>
      <c r="AC43" s="13"/>
      <c r="AD43" s="19" t="s">
        <v>15</v>
      </c>
      <c r="AE43" s="13"/>
      <c r="AF43" s="19"/>
      <c r="AG43" s="20" t="s">
        <v>117</v>
      </c>
    </row>
    <row r="44" spans="2:33" x14ac:dyDescent="0.25">
      <c r="B44" s="23" t="s">
        <v>52</v>
      </c>
      <c r="C44" s="23"/>
      <c r="D44" s="23"/>
      <c r="E44" s="23"/>
      <c r="F44" s="23"/>
      <c r="G44" s="23"/>
      <c r="H44" s="23"/>
      <c r="I44" s="23"/>
      <c r="J44" s="23"/>
      <c r="K44" s="23"/>
      <c r="M44" s="41" t="s">
        <v>52</v>
      </c>
      <c r="N44" s="41"/>
      <c r="O44" s="41"/>
      <c r="P44" s="41"/>
      <c r="Q44" s="41"/>
      <c r="R44" s="41"/>
      <c r="S44" s="41"/>
      <c r="T44" s="41"/>
      <c r="U44" s="41"/>
      <c r="V44" s="41"/>
      <c r="X44" s="21" t="s">
        <v>52</v>
      </c>
      <c r="Y44" s="21"/>
      <c r="Z44" s="21"/>
      <c r="AA44" s="21"/>
      <c r="AB44" s="21"/>
      <c r="AC44" s="21"/>
      <c r="AD44" s="21"/>
      <c r="AE44" s="21"/>
      <c r="AF44" s="21"/>
      <c r="AG44" s="21"/>
    </row>
    <row r="45" spans="2:33" x14ac:dyDescent="0.25">
      <c r="B45" s="24" t="s">
        <v>53</v>
      </c>
      <c r="C45" s="25" t="s">
        <v>54</v>
      </c>
      <c r="D45" s="25"/>
      <c r="E45" s="26" t="s">
        <v>55</v>
      </c>
      <c r="F45" s="26" t="s">
        <v>56</v>
      </c>
      <c r="G45" s="26" t="s">
        <v>57</v>
      </c>
      <c r="H45" s="26" t="s">
        <v>58</v>
      </c>
      <c r="I45" s="26" t="s">
        <v>8</v>
      </c>
      <c r="J45" s="26" t="s">
        <v>10</v>
      </c>
      <c r="K45" s="27" t="s">
        <v>59</v>
      </c>
      <c r="M45" s="24" t="s">
        <v>53</v>
      </c>
      <c r="N45" s="25" t="s">
        <v>54</v>
      </c>
      <c r="O45" s="25"/>
      <c r="P45" s="26" t="s">
        <v>55</v>
      </c>
      <c r="Q45" s="26" t="s">
        <v>56</v>
      </c>
      <c r="R45" s="26" t="s">
        <v>57</v>
      </c>
      <c r="S45" s="26" t="s">
        <v>58</v>
      </c>
      <c r="T45" s="26" t="s">
        <v>8</v>
      </c>
      <c r="U45" s="26" t="s">
        <v>10</v>
      </c>
      <c r="V45" s="27" t="s">
        <v>59</v>
      </c>
      <c r="X45" s="24" t="s">
        <v>53</v>
      </c>
      <c r="Y45" s="25" t="s">
        <v>54</v>
      </c>
      <c r="Z45" s="25"/>
      <c r="AA45" s="26" t="s">
        <v>55</v>
      </c>
      <c r="AB45" s="26" t="s">
        <v>56</v>
      </c>
      <c r="AC45" s="26" t="s">
        <v>57</v>
      </c>
      <c r="AD45" s="26" t="s">
        <v>58</v>
      </c>
      <c r="AE45" s="26" t="s">
        <v>8</v>
      </c>
      <c r="AF45" s="26" t="s">
        <v>10</v>
      </c>
      <c r="AG45" s="27" t="s">
        <v>59</v>
      </c>
    </row>
    <row r="46" spans="2:33" x14ac:dyDescent="0.25">
      <c r="B46" s="28">
        <v>1</v>
      </c>
      <c r="C46" s="29">
        <f>INDEX(CALC!$B$26:$B$29,MATCH(LARGE(CALC!$K$26:$K$29,1),CALC!$K$26:$K$29,0))</f>
      </c>
      <c r="D46" s="29"/>
      <c r="E46" s="30">
        <f>INDEX(CALC!$C$26:$C$29,MATCH(LARGE(CALC!$K$26:$K$29,1),CALC!$K$26:$K$29,0))</f>
      </c>
      <c r="F46" s="30">
        <f>INDEX(CALC!$D$26:$D$29,MATCH(LARGE(CALC!$K$26:$K$29,1),CALC!$K$26:$K$29,0))</f>
      </c>
      <c r="G46" s="30">
        <f>INDEX(CALC!$E$26:$E$29,MATCH(LARGE(CALC!$K$26:$K$29,1),CALC!$K$26:$K$29,0))</f>
      </c>
      <c r="H46" s="30">
        <f>INDEX(CALC!$F$26:$F$29,MATCH(LARGE(CALC!$K$26:$K$29,1),CALC!$K$26:$K$29,0))</f>
      </c>
      <c r="I46" s="30">
        <f>INDEX(CALC!$G$26:$G$29,MATCH(LARGE(CALC!$K$26:$K$29,1),CALC!$K$26:$K$29,0))</f>
      </c>
      <c r="J46" s="30">
        <f>INDEX(CALC!$H$26:$H$29,MATCH(LARGE(CALC!$K$26:$K$29,1),CALC!$K$26:$K$29,0))</f>
      </c>
      <c r="K46" s="31">
        <f>INDEX(CALC!$J$26:$J$29,MATCH(LARGE(CALC!$K$26:$K$29,1),CALC!$K$26:$K$29,0))</f>
      </c>
      <c r="M46" s="28">
        <v>1</v>
      </c>
      <c r="N46" s="29">
        <f>INDEX(CALC!$B$30:$B$33,MATCH(LARGE(CALC!$K$30:$K$33,1),CALC!$K$30:$K$33,0))</f>
      </c>
      <c r="O46" s="29"/>
      <c r="P46" s="30">
        <f>INDEX(CALC!$C$30:$C$33,MATCH(LARGE(CALC!$K$30:$K$33,1),CALC!$K$30:$K$33,0))</f>
      </c>
      <c r="Q46" s="30">
        <f>INDEX(CALC!$D$30:$D$33,MATCH(LARGE(CALC!$K$30:$K$33,1),CALC!$K$30:$K$33,0))</f>
      </c>
      <c r="R46" s="30">
        <f>INDEX(CALC!$E$30:$E$33,MATCH(LARGE(CALC!$K$30:$K$33,1),CALC!$K$30:$K$33,0))</f>
      </c>
      <c r="S46" s="30">
        <f>INDEX(CALC!$F$30:$F$33,MATCH(LARGE(CALC!$K$30:$K$33,1),CALC!$K$30:$K$33,0))</f>
      </c>
      <c r="T46" s="30">
        <f>INDEX(CALC!$G$30:$G$33,MATCH(LARGE(CALC!$K$30:$K$33,1),CALC!$K$30:$K$33,0))</f>
      </c>
      <c r="U46" s="30">
        <f>INDEX(CALC!$H$30:$H$33,MATCH(LARGE(CALC!$K$30:$K$33,1),CALC!$K$30:$K$33,0))</f>
      </c>
      <c r="V46" s="31">
        <f>INDEX(CALC!$J$30:$J$33,MATCH(LARGE(CALC!$K$30:$K$33,1),CALC!$K$30:$K$33,0))</f>
      </c>
      <c r="X46" s="28">
        <v>1</v>
      </c>
      <c r="Y46" s="29">
        <f>INDEX(CALC!$B$34:$B$37,MATCH(LARGE(CALC!$K$34:$K$37,1),CALC!$K$34:$K$37,0))</f>
      </c>
      <c r="Z46" s="29"/>
      <c r="AA46" s="30">
        <f>INDEX(CALC!$C$34:$C$37,MATCH(LARGE(CALC!$K$34:$K$37,1),CALC!$K$34:$K$37,0))</f>
      </c>
      <c r="AB46" s="30">
        <f>INDEX(CALC!$D$34:$D$37,MATCH(LARGE(CALC!$K$34:$K$37,1),CALC!$K$34:$K$37,0))</f>
      </c>
      <c r="AC46" s="30">
        <f>INDEX(CALC!$E$34:$E$37,MATCH(LARGE(CALC!$K$34:$K$37,1),CALC!$K$34:$K$37,0))</f>
      </c>
      <c r="AD46" s="30">
        <f>INDEX(CALC!$F$34:$F$37,MATCH(LARGE(CALC!$K$34:$K$37,1),CALC!$K$34:$K$37,0))</f>
      </c>
      <c r="AE46" s="30">
        <f>INDEX(CALC!$G$34:$G$37,MATCH(LARGE(CALC!$K$34:$K$37,1),CALC!$K$34:$K$37,0))</f>
      </c>
      <c r="AF46" s="30">
        <f>INDEX(CALC!$H$34:$H$37,MATCH(LARGE(CALC!$K$34:$K$37,1),CALC!$K$34:$K$37,0))</f>
      </c>
      <c r="AG46" s="31">
        <f>INDEX(CALC!$J$34:$J$37,MATCH(LARGE(CALC!$K$34:$K$37,1),CALC!$K$34:$K$37,0))</f>
      </c>
    </row>
    <row r="47" spans="2:33" x14ac:dyDescent="0.25">
      <c r="B47" s="28">
        <v>2</v>
      </c>
      <c r="C47" s="29">
        <f>INDEX(CALC!$B$26:$B$29,MATCH(LARGE(CALC!$K$26:$K$29,2),CALC!$K$26:$K$29,0))</f>
      </c>
      <c r="D47" s="29"/>
      <c r="E47" s="30">
        <f>INDEX(CALC!$C$26:$C$29,MATCH(LARGE(CALC!$K$26:$K$29,2),CALC!$K$26:$K$29,0))</f>
      </c>
      <c r="F47" s="30">
        <f>INDEX(CALC!$D$26:$D$29,MATCH(LARGE(CALC!$K$26:$K$29,2),CALC!$K$26:$K$29,0))</f>
      </c>
      <c r="G47" s="30">
        <f>INDEX(CALC!$E$26:$E$29,MATCH(LARGE(CALC!$K$26:$K$29,2),CALC!$K$26:$K$29,0))</f>
      </c>
      <c r="H47" s="30">
        <f>INDEX(CALC!$F$26:$F$29,MATCH(LARGE(CALC!$K$26:$K$29,2),CALC!$K$26:$K$29,0))</f>
      </c>
      <c r="I47" s="30">
        <f>INDEX(CALC!$G$26:$G$29,MATCH(LARGE(CALC!$K$26:$K$29,2),CALC!$K$26:$K$29,0))</f>
      </c>
      <c r="J47" s="30">
        <f>INDEX(CALC!$H$26:$H$29,MATCH(LARGE(CALC!$K$26:$K$29,2),CALC!$K$26:$K$29,0))</f>
      </c>
      <c r="K47" s="31">
        <f>INDEX(CALC!$J$26:$J$29,MATCH(LARGE(CALC!$K$26:$K$29,2),CALC!$K$26:$K$29,0))</f>
      </c>
      <c r="M47" s="28">
        <v>2</v>
      </c>
      <c r="N47" s="29">
        <f>INDEX(CALC!$B$30:$B$33,MATCH(LARGE(CALC!$K$30:$K$33,2),CALC!$K$30:$K$33,0))</f>
      </c>
      <c r="O47" s="29"/>
      <c r="P47" s="30">
        <f>INDEX(CALC!$C$30:$C$33,MATCH(LARGE(CALC!$K$30:$K$33,2),CALC!$K$30:$K$33,0))</f>
      </c>
      <c r="Q47" s="30">
        <f>INDEX(CALC!$D$30:$D$33,MATCH(LARGE(CALC!$K$30:$K$33,2),CALC!$K$30:$K$33,0))</f>
      </c>
      <c r="R47" s="30">
        <f>INDEX(CALC!$E$30:$E$33,MATCH(LARGE(CALC!$K$30:$K$33,2),CALC!$K$30:$K$33,0))</f>
      </c>
      <c r="S47" s="30">
        <f>INDEX(CALC!$F$30:$F$33,MATCH(LARGE(CALC!$K$30:$K$33,2),CALC!$K$30:$K$33,0))</f>
      </c>
      <c r="T47" s="30">
        <f>INDEX(CALC!$G$30:$G$33,MATCH(LARGE(CALC!$K$30:$K$33,2),CALC!$K$30:$K$33,0))</f>
      </c>
      <c r="U47" s="30">
        <f>INDEX(CALC!$H$30:$H$33,MATCH(LARGE(CALC!$K$30:$K$33,2),CALC!$K$30:$K$33,0))</f>
      </c>
      <c r="V47" s="31">
        <f>INDEX(CALC!$J$30:$J$33,MATCH(LARGE(CALC!$K$30:$K$33,2),CALC!$K$30:$K$33,0))</f>
      </c>
      <c r="X47" s="28">
        <v>2</v>
      </c>
      <c r="Y47" s="29">
        <f>INDEX(CALC!$B$34:$B$37,MATCH(LARGE(CALC!$K$34:$K$37,2),CALC!$K$34:$K$37,0))</f>
      </c>
      <c r="Z47" s="29"/>
      <c r="AA47" s="30">
        <f>INDEX(CALC!$C$34:$C$37,MATCH(LARGE(CALC!$K$34:$K$37,2),CALC!$K$34:$K$37,0))</f>
      </c>
      <c r="AB47" s="30">
        <f>INDEX(CALC!$D$34:$D$37,MATCH(LARGE(CALC!$K$34:$K$37,2),CALC!$K$34:$K$37,0))</f>
      </c>
      <c r="AC47" s="30">
        <f>INDEX(CALC!$E$34:$E$37,MATCH(LARGE(CALC!$K$34:$K$37,2),CALC!$K$34:$K$37,0))</f>
      </c>
      <c r="AD47" s="30">
        <f>INDEX(CALC!$F$34:$F$37,MATCH(LARGE(CALC!$K$34:$K$37,2),CALC!$K$34:$K$37,0))</f>
      </c>
      <c r="AE47" s="30">
        <f>INDEX(CALC!$G$34:$G$37,MATCH(LARGE(CALC!$K$34:$K$37,2),CALC!$K$34:$K$37,0))</f>
      </c>
      <c r="AF47" s="30">
        <f>INDEX(CALC!$H$34:$H$37,MATCH(LARGE(CALC!$K$34:$K$37,2),CALC!$K$34:$K$37,0))</f>
      </c>
      <c r="AG47" s="31">
        <f>INDEX(CALC!$J$34:$J$37,MATCH(LARGE(CALC!$K$34:$K$37,2),CALC!$K$34:$K$37,0))</f>
      </c>
    </row>
    <row r="48" spans="2:33" x14ac:dyDescent="0.25">
      <c r="B48" s="32">
        <v>3</v>
      </c>
      <c r="C48" s="33">
        <f>INDEX(CALC!$B$26:$B$29,MATCH(LARGE(CALC!$K$26:$K$29,3),CALC!$K$26:$K$29,0))</f>
      </c>
      <c r="D48" s="33"/>
      <c r="E48" s="34">
        <f>INDEX(CALC!$C$26:$C$29,MATCH(LARGE(CALC!$K$26:$K$29,3),CALC!$K$26:$K$29,0))</f>
      </c>
      <c r="F48" s="34">
        <f>INDEX(CALC!$D$26:$D$29,MATCH(LARGE(CALC!$K$26:$K$29,3),CALC!$K$26:$K$29,0))</f>
      </c>
      <c r="G48" s="34">
        <f>INDEX(CALC!$E$26:$E$29,MATCH(LARGE(CALC!$K$26:$K$29,3),CALC!$K$26:$K$29,0))</f>
      </c>
      <c r="H48" s="34">
        <f>INDEX(CALC!$F$26:$F$29,MATCH(LARGE(CALC!$K$26:$K$29,3),CALC!$K$26:$K$29,0))</f>
      </c>
      <c r="I48" s="34">
        <f>INDEX(CALC!$G$26:$G$29,MATCH(LARGE(CALC!$K$26:$K$29,3),CALC!$K$26:$K$29,0))</f>
      </c>
      <c r="J48" s="34">
        <f>INDEX(CALC!$H$26:$H$29,MATCH(LARGE(CALC!$K$26:$K$29,3),CALC!$K$26:$K$29,0))</f>
      </c>
      <c r="K48" s="35">
        <f>INDEX(CALC!$J$26:$J$29,MATCH(LARGE(CALC!$K$26:$K$29,3),CALC!$K$26:$K$29,0))</f>
      </c>
      <c r="M48" s="32">
        <v>3</v>
      </c>
      <c r="N48" s="33">
        <f>INDEX(CALC!$B$30:$B$33,MATCH(LARGE(CALC!$K$30:$K$33,3),CALC!$K$30:$K$33,0))</f>
      </c>
      <c r="O48" s="33"/>
      <c r="P48" s="34">
        <f>INDEX(CALC!$C$30:$C$33,MATCH(LARGE(CALC!$K$30:$K$33,3),CALC!$K$30:$K$33,0))</f>
      </c>
      <c r="Q48" s="34">
        <f>INDEX(CALC!$D$30:$D$33,MATCH(LARGE(CALC!$K$30:$K$33,3),CALC!$K$30:$K$33,0))</f>
      </c>
      <c r="R48" s="34">
        <f>INDEX(CALC!$E$30:$E$33,MATCH(LARGE(CALC!$K$30:$K$33,3),CALC!$K$30:$K$33,0))</f>
      </c>
      <c r="S48" s="34">
        <f>INDEX(CALC!$F$30:$F$33,MATCH(LARGE(CALC!$K$30:$K$33,3),CALC!$K$30:$K$33,0))</f>
      </c>
      <c r="T48" s="34">
        <f>INDEX(CALC!$G$30:$G$33,MATCH(LARGE(CALC!$K$30:$K$33,3),CALC!$K$30:$K$33,0))</f>
      </c>
      <c r="U48" s="34">
        <f>INDEX(CALC!$H$30:$H$33,MATCH(LARGE(CALC!$K$30:$K$33,3),CALC!$K$30:$K$33,0))</f>
      </c>
      <c r="V48" s="35">
        <f>INDEX(CALC!$J$30:$J$33,MATCH(LARGE(CALC!$K$30:$K$33,3),CALC!$K$30:$K$33,0))</f>
      </c>
      <c r="X48" s="32">
        <v>3</v>
      </c>
      <c r="Y48" s="33">
        <f>INDEX(CALC!$B$34:$B$37,MATCH(LARGE(CALC!$K$34:$K$37,3),CALC!$K$34:$K$37,0))</f>
      </c>
      <c r="Z48" s="33"/>
      <c r="AA48" s="34">
        <f>INDEX(CALC!$C$34:$C$37,MATCH(LARGE(CALC!$K$34:$K$37,3),CALC!$K$34:$K$37,0))</f>
      </c>
      <c r="AB48" s="34">
        <f>INDEX(CALC!$D$34:$D$37,MATCH(LARGE(CALC!$K$34:$K$37,3),CALC!$K$34:$K$37,0))</f>
      </c>
      <c r="AC48" s="34">
        <f>INDEX(CALC!$E$34:$E$37,MATCH(LARGE(CALC!$K$34:$K$37,3),CALC!$K$34:$K$37,0))</f>
      </c>
      <c r="AD48" s="34">
        <f>INDEX(CALC!$F$34:$F$37,MATCH(LARGE(CALC!$K$34:$K$37,3),CALC!$K$34:$K$37,0))</f>
      </c>
      <c r="AE48" s="34">
        <f>INDEX(CALC!$G$34:$G$37,MATCH(LARGE(CALC!$K$34:$K$37,3),CALC!$K$34:$K$37,0))</f>
      </c>
      <c r="AF48" s="34">
        <f>INDEX(CALC!$H$34:$H$37,MATCH(LARGE(CALC!$K$34:$K$37,3),CALC!$K$34:$K$37,0))</f>
      </c>
      <c r="AG48" s="35">
        <f>INDEX(CALC!$J$34:$J$37,MATCH(LARGE(CALC!$K$34:$K$37,3),CALC!$K$34:$K$37,0))</f>
      </c>
    </row>
    <row r="49" spans="2:33" x14ac:dyDescent="0.25">
      <c r="B49" s="36">
        <v>4</v>
      </c>
      <c r="C49" s="37">
        <f>INDEX(CALC!$B$26:$B$29,MATCH(LARGE(CALC!$K$26:$K$29,4),CALC!$K$26:$K$29,0))</f>
      </c>
      <c r="D49" s="37"/>
      <c r="E49" s="38">
        <f>INDEX(CALC!$C$26:$C$29,MATCH(LARGE(CALC!$K$26:$K$29,4),CALC!$K$26:$K$29,0))</f>
      </c>
      <c r="F49" s="38">
        <f>INDEX(CALC!$D$26:$D$29,MATCH(LARGE(CALC!$K$26:$K$29,4),CALC!$K$26:$K$29,0))</f>
      </c>
      <c r="G49" s="38">
        <f>INDEX(CALC!$E$26:$E$29,MATCH(LARGE(CALC!$K$26:$K$29,4),CALC!$K$26:$K$29,0))</f>
      </c>
      <c r="H49" s="38">
        <f>INDEX(CALC!$F$26:$F$29,MATCH(LARGE(CALC!$K$26:$K$29,4),CALC!$K$26:$K$29,0))</f>
      </c>
      <c r="I49" s="38">
        <f>INDEX(CALC!$G$26:$G$29,MATCH(LARGE(CALC!$K$26:$K$29,4),CALC!$K$26:$K$29,0))</f>
      </c>
      <c r="J49" s="38">
        <f>INDEX(CALC!$H$26:$H$29,MATCH(LARGE(CALC!$K$26:$K$29,4),CALC!$K$26:$K$29,0))</f>
      </c>
      <c r="K49" s="39">
        <f>INDEX(CALC!$J$26:$J$29,MATCH(LARGE(CALC!$K$26:$K$29,4),CALC!$K$26:$K$29,0))</f>
      </c>
      <c r="M49" s="36">
        <v>4</v>
      </c>
      <c r="N49" s="37">
        <f>INDEX(CALC!$B$30:$B$33,MATCH(LARGE(CALC!$K$30:$K$33,4),CALC!$K$30:$K$33,0))</f>
      </c>
      <c r="O49" s="37"/>
      <c r="P49" s="38">
        <f>INDEX(CALC!$C$30:$C$33,MATCH(LARGE(CALC!$K$30:$K$33,4),CALC!$K$30:$K$33,0))</f>
      </c>
      <c r="Q49" s="38">
        <f>INDEX(CALC!$D$30:$D$33,MATCH(LARGE(CALC!$K$30:$K$33,4),CALC!$K$30:$K$33,0))</f>
      </c>
      <c r="R49" s="38">
        <f>INDEX(CALC!$E$30:$E$33,MATCH(LARGE(CALC!$K$30:$K$33,4),CALC!$K$30:$K$33,0))</f>
      </c>
      <c r="S49" s="38">
        <f>INDEX(CALC!$F$30:$F$33,MATCH(LARGE(CALC!$K$30:$K$33,4),CALC!$K$30:$K$33,0))</f>
      </c>
      <c r="T49" s="38">
        <f>INDEX(CALC!$G$30:$G$33,MATCH(LARGE(CALC!$K$30:$K$33,4),CALC!$K$30:$K$33,0))</f>
      </c>
      <c r="U49" s="38">
        <f>INDEX(CALC!$H$30:$H$33,MATCH(LARGE(CALC!$K$30:$K$33,4),CALC!$K$30:$K$33,0))</f>
      </c>
      <c r="V49" s="39">
        <f>INDEX(CALC!$J$30:$J$33,MATCH(LARGE(CALC!$K$30:$K$33,4),CALC!$K$30:$K$33,0))</f>
      </c>
      <c r="X49" s="36">
        <v>4</v>
      </c>
      <c r="Y49" s="37">
        <f>INDEX(CALC!$B$34:$B$37,MATCH(LARGE(CALC!$K$34:$K$37,4),CALC!$K$34:$K$37,0))</f>
      </c>
      <c r="Z49" s="37"/>
      <c r="AA49" s="38">
        <f>INDEX(CALC!$C$34:$C$37,MATCH(LARGE(CALC!$K$34:$K$37,4),CALC!$K$34:$K$37,0))</f>
      </c>
      <c r="AB49" s="38">
        <f>INDEX(CALC!$D$34:$D$37,MATCH(LARGE(CALC!$K$34:$K$37,4),CALC!$K$34:$K$37,0))</f>
      </c>
      <c r="AC49" s="38">
        <f>INDEX(CALC!$E$34:$E$37,MATCH(LARGE(CALC!$K$34:$K$37,4),CALC!$K$34:$K$37,0))</f>
      </c>
      <c r="AD49" s="38">
        <f>INDEX(CALC!$F$34:$F$37,MATCH(LARGE(CALC!$K$34:$K$37,4),CALC!$K$34:$K$37,0))</f>
      </c>
      <c r="AE49" s="38">
        <f>INDEX(CALC!$G$34:$G$37,MATCH(LARGE(CALC!$K$34:$K$37,4),CALC!$K$34:$K$37,0))</f>
      </c>
      <c r="AF49" s="38">
        <f>INDEX(CALC!$H$34:$H$37,MATCH(LARGE(CALC!$K$34:$K$37,4),CALC!$K$34:$K$37,0))</f>
      </c>
      <c r="AG49" s="39">
        <f>INDEX(CALC!$J$34:$J$37,MATCH(LARGE(CALC!$K$34:$K$37,4),CALC!$K$34:$K$37,0))</f>
      </c>
    </row>
    <row r="53" spans="2:33" x14ac:dyDescent="0.25">
      <c r="B53" s="3" t="s">
        <v>134</v>
      </c>
      <c r="C53" s="3"/>
      <c r="D53" s="3"/>
      <c r="E53" s="3"/>
      <c r="F53" s="3"/>
      <c r="G53" s="3"/>
      <c r="H53" s="3"/>
      <c r="I53" s="2">
        <f>COUNTA($G$55:$G$60)&amp;"/6"</f>
      </c>
      <c r="J53" s="2"/>
      <c r="K53" s="2"/>
      <c r="M53" s="4" t="s">
        <v>135</v>
      </c>
      <c r="N53" s="4"/>
      <c r="O53" s="4"/>
      <c r="P53" s="4"/>
      <c r="Q53" s="4"/>
      <c r="R53" s="4"/>
      <c r="S53" s="4"/>
      <c r="T53" s="2">
        <f>COUNTA($R$55:$R$60)&amp;"/6"</f>
      </c>
      <c r="U53" s="2"/>
      <c r="V53" s="2"/>
      <c r="X53" s="40" t="s">
        <v>136</v>
      </c>
      <c r="Y53" s="40"/>
      <c r="Z53" s="40"/>
      <c r="AA53" s="40"/>
      <c r="AB53" s="40"/>
      <c r="AC53" s="40"/>
      <c r="AD53" s="40"/>
      <c r="AE53" s="2">
        <f>COUNTA($AC$55:$AC$60)&amp;"/6"</f>
      </c>
      <c r="AF53" s="2"/>
      <c r="AG53" s="2"/>
    </row>
    <row r="54" spans="2:33" x14ac:dyDescent="0.25">
      <c r="B54" s="5" t="s">
        <v>3</v>
      </c>
      <c r="C54" s="6" t="s">
        <v>4</v>
      </c>
      <c r="D54" s="6" t="s">
        <v>5</v>
      </c>
      <c r="E54" s="6" t="s">
        <v>6</v>
      </c>
      <c r="F54" s="6" t="s">
        <v>7</v>
      </c>
      <c r="G54" s="6" t="s">
        <v>8</v>
      </c>
      <c r="H54" s="6" t="s">
        <v>9</v>
      </c>
      <c r="I54" s="6" t="s">
        <v>10</v>
      </c>
      <c r="J54" s="6" t="s">
        <v>7</v>
      </c>
      <c r="K54" s="7" t="s">
        <v>11</v>
      </c>
      <c r="M54" s="5" t="s">
        <v>3</v>
      </c>
      <c r="N54" s="6" t="s">
        <v>4</v>
      </c>
      <c r="O54" s="6" t="s">
        <v>5</v>
      </c>
      <c r="P54" s="6" t="s">
        <v>6</v>
      </c>
      <c r="Q54" s="6" t="s">
        <v>7</v>
      </c>
      <c r="R54" s="6" t="s">
        <v>8</v>
      </c>
      <c r="S54" s="6" t="s">
        <v>9</v>
      </c>
      <c r="T54" s="6" t="s">
        <v>10</v>
      </c>
      <c r="U54" s="6" t="s">
        <v>7</v>
      </c>
      <c r="V54" s="7" t="s">
        <v>11</v>
      </c>
      <c r="X54" s="5" t="s">
        <v>3</v>
      </c>
      <c r="Y54" s="6" t="s">
        <v>4</v>
      </c>
      <c r="Z54" s="6" t="s">
        <v>5</v>
      </c>
      <c r="AA54" s="6" t="s">
        <v>6</v>
      </c>
      <c r="AB54" s="6" t="s">
        <v>7</v>
      </c>
      <c r="AC54" s="6" t="s">
        <v>8</v>
      </c>
      <c r="AD54" s="6" t="s">
        <v>9</v>
      </c>
      <c r="AE54" s="6" t="s">
        <v>10</v>
      </c>
      <c r="AF54" s="6" t="s">
        <v>7</v>
      </c>
      <c r="AG54" s="7" t="s">
        <v>11</v>
      </c>
    </row>
    <row r="55" spans="2:33" x14ac:dyDescent="0.25">
      <c r="B55" s="8" t="s">
        <v>137</v>
      </c>
      <c r="C55" s="9">
        <v>1</v>
      </c>
      <c r="D55" s="10" t="s">
        <v>116</v>
      </c>
      <c r="E55" s="11" t="s">
        <v>138</v>
      </c>
      <c r="F55" s="12"/>
      <c r="G55" s="13"/>
      <c r="H55" s="12" t="s">
        <v>15</v>
      </c>
      <c r="I55" s="13"/>
      <c r="J55" s="12"/>
      <c r="K55" s="14" t="s">
        <v>139</v>
      </c>
      <c r="M55" s="8" t="s">
        <v>140</v>
      </c>
      <c r="N55" s="9">
        <v>1</v>
      </c>
      <c r="O55" s="10" t="s">
        <v>116</v>
      </c>
      <c r="P55" s="11" t="s">
        <v>141</v>
      </c>
      <c r="Q55" s="12"/>
      <c r="R55" s="13"/>
      <c r="S55" s="12" t="s">
        <v>15</v>
      </c>
      <c r="T55" s="13"/>
      <c r="U55" s="12"/>
      <c r="V55" s="14" t="s">
        <v>142</v>
      </c>
      <c r="X55" s="8" t="s">
        <v>143</v>
      </c>
      <c r="Y55" s="9">
        <v>1</v>
      </c>
      <c r="Z55" s="10" t="s">
        <v>36</v>
      </c>
      <c r="AA55" s="11" t="s">
        <v>144</v>
      </c>
      <c r="AB55" s="12"/>
      <c r="AC55" s="13"/>
      <c r="AD55" s="12" t="s">
        <v>15</v>
      </c>
      <c r="AE55" s="13"/>
      <c r="AF55" s="12"/>
      <c r="AG55" s="14" t="s">
        <v>145</v>
      </c>
    </row>
    <row r="56" spans="2:33" x14ac:dyDescent="0.25">
      <c r="B56" s="15" t="s">
        <v>146</v>
      </c>
      <c r="C56" s="16">
        <v>1</v>
      </c>
      <c r="D56" s="17" t="s">
        <v>116</v>
      </c>
      <c r="E56" s="18" t="s">
        <v>147</v>
      </c>
      <c r="F56" s="19"/>
      <c r="G56" s="13"/>
      <c r="H56" s="19" t="s">
        <v>15</v>
      </c>
      <c r="I56" s="13"/>
      <c r="J56" s="19"/>
      <c r="K56" s="20" t="s">
        <v>148</v>
      </c>
      <c r="M56" s="15" t="s">
        <v>149</v>
      </c>
      <c r="N56" s="16">
        <v>1</v>
      </c>
      <c r="O56" s="17" t="s">
        <v>36</v>
      </c>
      <c r="P56" s="18" t="s">
        <v>150</v>
      </c>
      <c r="Q56" s="19"/>
      <c r="R56" s="13"/>
      <c r="S56" s="19" t="s">
        <v>15</v>
      </c>
      <c r="T56" s="13"/>
      <c r="U56" s="19"/>
      <c r="V56" s="20" t="s">
        <v>151</v>
      </c>
      <c r="X56" s="15" t="s">
        <v>152</v>
      </c>
      <c r="Y56" s="16">
        <v>1</v>
      </c>
      <c r="Z56" s="17" t="s">
        <v>116</v>
      </c>
      <c r="AA56" s="18" t="s">
        <v>153</v>
      </c>
      <c r="AB56" s="19"/>
      <c r="AC56" s="13"/>
      <c r="AD56" s="19" t="s">
        <v>15</v>
      </c>
      <c r="AE56" s="13"/>
      <c r="AF56" s="19"/>
      <c r="AG56" s="20" t="s">
        <v>154</v>
      </c>
    </row>
    <row r="57" spans="2:33" x14ac:dyDescent="0.25">
      <c r="B57" s="8" t="s">
        <v>155</v>
      </c>
      <c r="C57" s="9">
        <v>2</v>
      </c>
      <c r="D57" s="10" t="s">
        <v>121</v>
      </c>
      <c r="E57" s="11" t="s">
        <v>138</v>
      </c>
      <c r="F57" s="12"/>
      <c r="G57" s="13"/>
      <c r="H57" s="12" t="s">
        <v>15</v>
      </c>
      <c r="I57" s="13"/>
      <c r="J57" s="12"/>
      <c r="K57" s="14" t="s">
        <v>147</v>
      </c>
      <c r="M57" s="8" t="s">
        <v>156</v>
      </c>
      <c r="N57" s="9">
        <v>2</v>
      </c>
      <c r="O57" s="10" t="s">
        <v>123</v>
      </c>
      <c r="P57" s="11" t="s">
        <v>141</v>
      </c>
      <c r="Q57" s="12"/>
      <c r="R57" s="13"/>
      <c r="S57" s="12" t="s">
        <v>15</v>
      </c>
      <c r="T57" s="13"/>
      <c r="U57" s="12"/>
      <c r="V57" s="14" t="s">
        <v>150</v>
      </c>
      <c r="X57" s="8" t="s">
        <v>157</v>
      </c>
      <c r="Y57" s="9">
        <v>2</v>
      </c>
      <c r="Z57" s="10" t="s">
        <v>123</v>
      </c>
      <c r="AA57" s="11" t="s">
        <v>153</v>
      </c>
      <c r="AB57" s="12"/>
      <c r="AC57" s="13"/>
      <c r="AD57" s="12" t="s">
        <v>15</v>
      </c>
      <c r="AE57" s="13"/>
      <c r="AF57" s="12"/>
      <c r="AG57" s="14" t="s">
        <v>144</v>
      </c>
    </row>
    <row r="58" spans="2:33" x14ac:dyDescent="0.25">
      <c r="B58" s="15" t="s">
        <v>158</v>
      </c>
      <c r="C58" s="16">
        <v>2</v>
      </c>
      <c r="D58" s="17" t="s">
        <v>123</v>
      </c>
      <c r="E58" s="18" t="s">
        <v>148</v>
      </c>
      <c r="F58" s="19"/>
      <c r="G58" s="13"/>
      <c r="H58" s="19" t="s">
        <v>15</v>
      </c>
      <c r="I58" s="13"/>
      <c r="J58" s="19"/>
      <c r="K58" s="20" t="s">
        <v>139</v>
      </c>
      <c r="M58" s="15" t="s">
        <v>159</v>
      </c>
      <c r="N58" s="16">
        <v>2</v>
      </c>
      <c r="O58" s="17" t="s">
        <v>47</v>
      </c>
      <c r="P58" s="18" t="s">
        <v>151</v>
      </c>
      <c r="Q58" s="19"/>
      <c r="R58" s="13"/>
      <c r="S58" s="19" t="s">
        <v>15</v>
      </c>
      <c r="T58" s="13"/>
      <c r="U58" s="19"/>
      <c r="V58" s="20" t="s">
        <v>142</v>
      </c>
      <c r="X58" s="15" t="s">
        <v>160</v>
      </c>
      <c r="Y58" s="16">
        <v>2</v>
      </c>
      <c r="Z58" s="17" t="s">
        <v>47</v>
      </c>
      <c r="AA58" s="18" t="s">
        <v>145</v>
      </c>
      <c r="AB58" s="19"/>
      <c r="AC58" s="13"/>
      <c r="AD58" s="19" t="s">
        <v>15</v>
      </c>
      <c r="AE58" s="13"/>
      <c r="AF58" s="19"/>
      <c r="AG58" s="20" t="s">
        <v>154</v>
      </c>
    </row>
    <row r="59" spans="2:33" x14ac:dyDescent="0.25">
      <c r="B59" s="8" t="s">
        <v>161</v>
      </c>
      <c r="C59" s="9">
        <v>3</v>
      </c>
      <c r="D59" s="10" t="s">
        <v>162</v>
      </c>
      <c r="E59" s="11" t="s">
        <v>139</v>
      </c>
      <c r="F59" s="12"/>
      <c r="G59" s="13"/>
      <c r="H59" s="12" t="s">
        <v>15</v>
      </c>
      <c r="I59" s="13"/>
      <c r="J59" s="12"/>
      <c r="K59" s="14" t="s">
        <v>147</v>
      </c>
      <c r="M59" s="8" t="s">
        <v>163</v>
      </c>
      <c r="N59" s="9">
        <v>3</v>
      </c>
      <c r="O59" s="10" t="s">
        <v>162</v>
      </c>
      <c r="P59" s="11" t="s">
        <v>151</v>
      </c>
      <c r="Q59" s="12"/>
      <c r="R59" s="13"/>
      <c r="S59" s="12" t="s">
        <v>15</v>
      </c>
      <c r="T59" s="13"/>
      <c r="U59" s="12"/>
      <c r="V59" s="14" t="s">
        <v>141</v>
      </c>
      <c r="X59" s="8" t="s">
        <v>164</v>
      </c>
      <c r="Y59" s="9">
        <v>3</v>
      </c>
      <c r="Z59" s="10" t="s">
        <v>128</v>
      </c>
      <c r="AA59" s="11" t="s">
        <v>145</v>
      </c>
      <c r="AB59" s="12"/>
      <c r="AC59" s="13"/>
      <c r="AD59" s="12" t="s">
        <v>15</v>
      </c>
      <c r="AE59" s="13"/>
      <c r="AF59" s="12"/>
      <c r="AG59" s="14" t="s">
        <v>153</v>
      </c>
    </row>
    <row r="60" spans="2:33" x14ac:dyDescent="0.25">
      <c r="B60" s="15" t="s">
        <v>165</v>
      </c>
      <c r="C60" s="16">
        <v>3</v>
      </c>
      <c r="D60" s="17" t="s">
        <v>162</v>
      </c>
      <c r="E60" s="18" t="s">
        <v>148</v>
      </c>
      <c r="F60" s="19"/>
      <c r="G60" s="13"/>
      <c r="H60" s="19" t="s">
        <v>15</v>
      </c>
      <c r="I60" s="13"/>
      <c r="J60" s="19"/>
      <c r="K60" s="20" t="s">
        <v>138</v>
      </c>
      <c r="M60" s="15" t="s">
        <v>166</v>
      </c>
      <c r="N60" s="16">
        <v>3</v>
      </c>
      <c r="O60" s="17" t="s">
        <v>162</v>
      </c>
      <c r="P60" s="18" t="s">
        <v>142</v>
      </c>
      <c r="Q60" s="19"/>
      <c r="R60" s="13"/>
      <c r="S60" s="19" t="s">
        <v>15</v>
      </c>
      <c r="T60" s="13"/>
      <c r="U60" s="19"/>
      <c r="V60" s="20" t="s">
        <v>150</v>
      </c>
      <c r="X60" s="15" t="s">
        <v>167</v>
      </c>
      <c r="Y60" s="16">
        <v>3</v>
      </c>
      <c r="Z60" s="17" t="s">
        <v>128</v>
      </c>
      <c r="AA60" s="18" t="s">
        <v>154</v>
      </c>
      <c r="AB60" s="19"/>
      <c r="AC60" s="13"/>
      <c r="AD60" s="19" t="s">
        <v>15</v>
      </c>
      <c r="AE60" s="13"/>
      <c r="AF60" s="19"/>
      <c r="AG60" s="20" t="s">
        <v>144</v>
      </c>
    </row>
    <row r="61" spans="2:33" x14ac:dyDescent="0.25">
      <c r="B61" s="22" t="s">
        <v>52</v>
      </c>
      <c r="C61" s="22"/>
      <c r="D61" s="22"/>
      <c r="E61" s="22"/>
      <c r="F61" s="22"/>
      <c r="G61" s="22"/>
      <c r="H61" s="22"/>
      <c r="I61" s="22"/>
      <c r="J61" s="22"/>
      <c r="K61" s="22"/>
      <c r="M61" s="23" t="s">
        <v>52</v>
      </c>
      <c r="N61" s="23"/>
      <c r="O61" s="23"/>
      <c r="P61" s="23"/>
      <c r="Q61" s="23"/>
      <c r="R61" s="23"/>
      <c r="S61" s="23"/>
      <c r="T61" s="23"/>
      <c r="U61" s="23"/>
      <c r="V61" s="23"/>
      <c r="X61" s="41" t="s">
        <v>52</v>
      </c>
      <c r="Y61" s="41"/>
      <c r="Z61" s="41"/>
      <c r="AA61" s="41"/>
      <c r="AB61" s="41"/>
      <c r="AC61" s="41"/>
      <c r="AD61" s="41"/>
      <c r="AE61" s="41"/>
      <c r="AF61" s="41"/>
      <c r="AG61" s="41"/>
    </row>
    <row r="62" spans="2:33" x14ac:dyDescent="0.25">
      <c r="B62" s="24" t="s">
        <v>53</v>
      </c>
      <c r="C62" s="25" t="s">
        <v>54</v>
      </c>
      <c r="D62" s="25"/>
      <c r="E62" s="26" t="s">
        <v>55</v>
      </c>
      <c r="F62" s="26" t="s">
        <v>56</v>
      </c>
      <c r="G62" s="26" t="s">
        <v>57</v>
      </c>
      <c r="H62" s="26" t="s">
        <v>58</v>
      </c>
      <c r="I62" s="26" t="s">
        <v>8</v>
      </c>
      <c r="J62" s="26" t="s">
        <v>10</v>
      </c>
      <c r="K62" s="27" t="s">
        <v>59</v>
      </c>
      <c r="M62" s="24" t="s">
        <v>53</v>
      </c>
      <c r="N62" s="25" t="s">
        <v>54</v>
      </c>
      <c r="O62" s="25"/>
      <c r="P62" s="26" t="s">
        <v>55</v>
      </c>
      <c r="Q62" s="26" t="s">
        <v>56</v>
      </c>
      <c r="R62" s="26" t="s">
        <v>57</v>
      </c>
      <c r="S62" s="26" t="s">
        <v>58</v>
      </c>
      <c r="T62" s="26" t="s">
        <v>8</v>
      </c>
      <c r="U62" s="26" t="s">
        <v>10</v>
      </c>
      <c r="V62" s="27" t="s">
        <v>59</v>
      </c>
      <c r="X62" s="24" t="s">
        <v>53</v>
      </c>
      <c r="Y62" s="25" t="s">
        <v>54</v>
      </c>
      <c r="Z62" s="25"/>
      <c r="AA62" s="26" t="s">
        <v>55</v>
      </c>
      <c r="AB62" s="26" t="s">
        <v>56</v>
      </c>
      <c r="AC62" s="26" t="s">
        <v>57</v>
      </c>
      <c r="AD62" s="26" t="s">
        <v>58</v>
      </c>
      <c r="AE62" s="26" t="s">
        <v>8</v>
      </c>
      <c r="AF62" s="26" t="s">
        <v>10</v>
      </c>
      <c r="AG62" s="27" t="s">
        <v>59</v>
      </c>
    </row>
    <row r="63" spans="2:33" x14ac:dyDescent="0.25">
      <c r="B63" s="28">
        <v>1</v>
      </c>
      <c r="C63" s="29">
        <f>INDEX(CALC!$B$38:$B$41,MATCH(LARGE(CALC!$K$38:$K$41,1),CALC!$K$38:$K$41,0))</f>
      </c>
      <c r="D63" s="29"/>
      <c r="E63" s="30">
        <f>INDEX(CALC!$C$38:$C$41,MATCH(LARGE(CALC!$K$38:$K$41,1),CALC!$K$38:$K$41,0))</f>
      </c>
      <c r="F63" s="30">
        <f>INDEX(CALC!$D$38:$D$41,MATCH(LARGE(CALC!$K$38:$K$41,1),CALC!$K$38:$K$41,0))</f>
      </c>
      <c r="G63" s="30">
        <f>INDEX(CALC!$E$38:$E$41,MATCH(LARGE(CALC!$K$38:$K$41,1),CALC!$K$38:$K$41,0))</f>
      </c>
      <c r="H63" s="30">
        <f>INDEX(CALC!$F$38:$F$41,MATCH(LARGE(CALC!$K$38:$K$41,1),CALC!$K$38:$K$41,0))</f>
      </c>
      <c r="I63" s="30">
        <f>INDEX(CALC!$G$38:$G$41,MATCH(LARGE(CALC!$K$38:$K$41,1),CALC!$K$38:$K$41,0))</f>
      </c>
      <c r="J63" s="30">
        <f>INDEX(CALC!$H$38:$H$41,MATCH(LARGE(CALC!$K$38:$K$41,1),CALC!$K$38:$K$41,0))</f>
      </c>
      <c r="K63" s="31">
        <f>INDEX(CALC!$J$38:$J$41,MATCH(LARGE(CALC!$K$38:$K$41,1),CALC!$K$38:$K$41,0))</f>
      </c>
      <c r="M63" s="28">
        <v>1</v>
      </c>
      <c r="N63" s="29">
        <f>INDEX(CALC!$B$42:$B$45,MATCH(LARGE(CALC!$K$42:$K$45,1),CALC!$K$42:$K$45,0))</f>
      </c>
      <c r="O63" s="29"/>
      <c r="P63" s="30">
        <f>INDEX(CALC!$C$42:$C$45,MATCH(LARGE(CALC!$K$42:$K$45,1),CALC!$K$42:$K$45,0))</f>
      </c>
      <c r="Q63" s="30">
        <f>INDEX(CALC!$D$42:$D$45,MATCH(LARGE(CALC!$K$42:$K$45,1),CALC!$K$42:$K$45,0))</f>
      </c>
      <c r="R63" s="30">
        <f>INDEX(CALC!$E$42:$E$45,MATCH(LARGE(CALC!$K$42:$K$45,1),CALC!$K$42:$K$45,0))</f>
      </c>
      <c r="S63" s="30">
        <f>INDEX(CALC!$F$42:$F$45,MATCH(LARGE(CALC!$K$42:$K$45,1),CALC!$K$42:$K$45,0))</f>
      </c>
      <c r="T63" s="30">
        <f>INDEX(CALC!$G$42:$G$45,MATCH(LARGE(CALC!$K$42:$K$45,1),CALC!$K$42:$K$45,0))</f>
      </c>
      <c r="U63" s="30">
        <f>INDEX(CALC!$H$42:$H$45,MATCH(LARGE(CALC!$K$42:$K$45,1),CALC!$K$42:$K$45,0))</f>
      </c>
      <c r="V63" s="31">
        <f>INDEX(CALC!$J$42:$J$45,MATCH(LARGE(CALC!$K$42:$K$45,1),CALC!$K$42:$K$45,0))</f>
      </c>
      <c r="X63" s="28">
        <v>1</v>
      </c>
      <c r="Y63" s="29">
        <f>INDEX(CALC!$B$46:$B$49,MATCH(LARGE(CALC!$K$46:$K$49,1),CALC!$K$46:$K$49,0))</f>
      </c>
      <c r="Z63" s="29"/>
      <c r="AA63" s="30">
        <f>INDEX(CALC!$C$46:$C$49,MATCH(LARGE(CALC!$K$46:$K$49,1),CALC!$K$46:$K$49,0))</f>
      </c>
      <c r="AB63" s="30">
        <f>INDEX(CALC!$D$46:$D$49,MATCH(LARGE(CALC!$K$46:$K$49,1),CALC!$K$46:$K$49,0))</f>
      </c>
      <c r="AC63" s="30">
        <f>INDEX(CALC!$E$46:$E$49,MATCH(LARGE(CALC!$K$46:$K$49,1),CALC!$K$46:$K$49,0))</f>
      </c>
      <c r="AD63" s="30">
        <f>INDEX(CALC!$F$46:$F$49,MATCH(LARGE(CALC!$K$46:$K$49,1),CALC!$K$46:$K$49,0))</f>
      </c>
      <c r="AE63" s="30">
        <f>INDEX(CALC!$G$46:$G$49,MATCH(LARGE(CALC!$K$46:$K$49,1),CALC!$K$46:$K$49,0))</f>
      </c>
      <c r="AF63" s="30">
        <f>INDEX(CALC!$H$46:$H$49,MATCH(LARGE(CALC!$K$46:$K$49,1),CALC!$K$46:$K$49,0))</f>
      </c>
      <c r="AG63" s="31">
        <f>INDEX(CALC!$J$46:$J$49,MATCH(LARGE(CALC!$K$46:$K$49,1),CALC!$K$46:$K$49,0))</f>
      </c>
    </row>
    <row r="64" spans="2:33" x14ac:dyDescent="0.25">
      <c r="B64" s="28">
        <v>2</v>
      </c>
      <c r="C64" s="29">
        <f>INDEX(CALC!$B$38:$B$41,MATCH(LARGE(CALC!$K$38:$K$41,2),CALC!$K$38:$K$41,0))</f>
      </c>
      <c r="D64" s="29"/>
      <c r="E64" s="30">
        <f>INDEX(CALC!$C$38:$C$41,MATCH(LARGE(CALC!$K$38:$K$41,2),CALC!$K$38:$K$41,0))</f>
      </c>
      <c r="F64" s="30">
        <f>INDEX(CALC!$D$38:$D$41,MATCH(LARGE(CALC!$K$38:$K$41,2),CALC!$K$38:$K$41,0))</f>
      </c>
      <c r="G64" s="30">
        <f>INDEX(CALC!$E$38:$E$41,MATCH(LARGE(CALC!$K$38:$K$41,2),CALC!$K$38:$K$41,0))</f>
      </c>
      <c r="H64" s="30">
        <f>INDEX(CALC!$F$38:$F$41,MATCH(LARGE(CALC!$K$38:$K$41,2),CALC!$K$38:$K$41,0))</f>
      </c>
      <c r="I64" s="30">
        <f>INDEX(CALC!$G$38:$G$41,MATCH(LARGE(CALC!$K$38:$K$41,2),CALC!$K$38:$K$41,0))</f>
      </c>
      <c r="J64" s="30">
        <f>INDEX(CALC!$H$38:$H$41,MATCH(LARGE(CALC!$K$38:$K$41,2),CALC!$K$38:$K$41,0))</f>
      </c>
      <c r="K64" s="31">
        <f>INDEX(CALC!$J$38:$J$41,MATCH(LARGE(CALC!$K$38:$K$41,2),CALC!$K$38:$K$41,0))</f>
      </c>
      <c r="M64" s="28">
        <v>2</v>
      </c>
      <c r="N64" s="29">
        <f>INDEX(CALC!$B$42:$B$45,MATCH(LARGE(CALC!$K$42:$K$45,2),CALC!$K$42:$K$45,0))</f>
      </c>
      <c r="O64" s="29"/>
      <c r="P64" s="30">
        <f>INDEX(CALC!$C$42:$C$45,MATCH(LARGE(CALC!$K$42:$K$45,2),CALC!$K$42:$K$45,0))</f>
      </c>
      <c r="Q64" s="30">
        <f>INDEX(CALC!$D$42:$D$45,MATCH(LARGE(CALC!$K$42:$K$45,2),CALC!$K$42:$K$45,0))</f>
      </c>
      <c r="R64" s="30">
        <f>INDEX(CALC!$E$42:$E$45,MATCH(LARGE(CALC!$K$42:$K$45,2),CALC!$K$42:$K$45,0))</f>
      </c>
      <c r="S64" s="30">
        <f>INDEX(CALC!$F$42:$F$45,MATCH(LARGE(CALC!$K$42:$K$45,2),CALC!$K$42:$K$45,0))</f>
      </c>
      <c r="T64" s="30">
        <f>INDEX(CALC!$G$42:$G$45,MATCH(LARGE(CALC!$K$42:$K$45,2),CALC!$K$42:$K$45,0))</f>
      </c>
      <c r="U64" s="30">
        <f>INDEX(CALC!$H$42:$H$45,MATCH(LARGE(CALC!$K$42:$K$45,2),CALC!$K$42:$K$45,0))</f>
      </c>
      <c r="V64" s="31">
        <f>INDEX(CALC!$J$42:$J$45,MATCH(LARGE(CALC!$K$42:$K$45,2),CALC!$K$42:$K$45,0))</f>
      </c>
      <c r="X64" s="28">
        <v>2</v>
      </c>
      <c r="Y64" s="29">
        <f>INDEX(CALC!$B$46:$B$49,MATCH(LARGE(CALC!$K$46:$K$49,2),CALC!$K$46:$K$49,0))</f>
      </c>
      <c r="Z64" s="29"/>
      <c r="AA64" s="30">
        <f>INDEX(CALC!$C$46:$C$49,MATCH(LARGE(CALC!$K$46:$K$49,2),CALC!$K$46:$K$49,0))</f>
      </c>
      <c r="AB64" s="30">
        <f>INDEX(CALC!$D$46:$D$49,MATCH(LARGE(CALC!$K$46:$K$49,2),CALC!$K$46:$K$49,0))</f>
      </c>
      <c r="AC64" s="30">
        <f>INDEX(CALC!$E$46:$E$49,MATCH(LARGE(CALC!$K$46:$K$49,2),CALC!$K$46:$K$49,0))</f>
      </c>
      <c r="AD64" s="30">
        <f>INDEX(CALC!$F$46:$F$49,MATCH(LARGE(CALC!$K$46:$K$49,2),CALC!$K$46:$K$49,0))</f>
      </c>
      <c r="AE64" s="30">
        <f>INDEX(CALC!$G$46:$G$49,MATCH(LARGE(CALC!$K$46:$K$49,2),CALC!$K$46:$K$49,0))</f>
      </c>
      <c r="AF64" s="30">
        <f>INDEX(CALC!$H$46:$H$49,MATCH(LARGE(CALC!$K$46:$K$49,2),CALC!$K$46:$K$49,0))</f>
      </c>
      <c r="AG64" s="31">
        <f>INDEX(CALC!$J$46:$J$49,MATCH(LARGE(CALC!$K$46:$K$49,2),CALC!$K$46:$K$49,0))</f>
      </c>
    </row>
    <row r="65" spans="2:33" x14ac:dyDescent="0.25">
      <c r="B65" s="32">
        <v>3</v>
      </c>
      <c r="C65" s="33">
        <f>INDEX(CALC!$B$38:$B$41,MATCH(LARGE(CALC!$K$38:$K$41,3),CALC!$K$38:$K$41,0))</f>
      </c>
      <c r="D65" s="33"/>
      <c r="E65" s="34">
        <f>INDEX(CALC!$C$38:$C$41,MATCH(LARGE(CALC!$K$38:$K$41,3),CALC!$K$38:$K$41,0))</f>
      </c>
      <c r="F65" s="34">
        <f>INDEX(CALC!$D$38:$D$41,MATCH(LARGE(CALC!$K$38:$K$41,3),CALC!$K$38:$K$41,0))</f>
      </c>
      <c r="G65" s="34">
        <f>INDEX(CALC!$E$38:$E$41,MATCH(LARGE(CALC!$K$38:$K$41,3),CALC!$K$38:$K$41,0))</f>
      </c>
      <c r="H65" s="34">
        <f>INDEX(CALC!$F$38:$F$41,MATCH(LARGE(CALC!$K$38:$K$41,3),CALC!$K$38:$K$41,0))</f>
      </c>
      <c r="I65" s="34">
        <f>INDEX(CALC!$G$38:$G$41,MATCH(LARGE(CALC!$K$38:$K$41,3),CALC!$K$38:$K$41,0))</f>
      </c>
      <c r="J65" s="34">
        <f>INDEX(CALC!$H$38:$H$41,MATCH(LARGE(CALC!$K$38:$K$41,3),CALC!$K$38:$K$41,0))</f>
      </c>
      <c r="K65" s="35">
        <f>INDEX(CALC!$J$38:$J$41,MATCH(LARGE(CALC!$K$38:$K$41,3),CALC!$K$38:$K$41,0))</f>
      </c>
      <c r="M65" s="32">
        <v>3</v>
      </c>
      <c r="N65" s="33">
        <f>INDEX(CALC!$B$42:$B$45,MATCH(LARGE(CALC!$K$42:$K$45,3),CALC!$K$42:$K$45,0))</f>
      </c>
      <c r="O65" s="33"/>
      <c r="P65" s="34">
        <f>INDEX(CALC!$C$42:$C$45,MATCH(LARGE(CALC!$K$42:$K$45,3),CALC!$K$42:$K$45,0))</f>
      </c>
      <c r="Q65" s="34">
        <f>INDEX(CALC!$D$42:$D$45,MATCH(LARGE(CALC!$K$42:$K$45,3),CALC!$K$42:$K$45,0))</f>
      </c>
      <c r="R65" s="34">
        <f>INDEX(CALC!$E$42:$E$45,MATCH(LARGE(CALC!$K$42:$K$45,3),CALC!$K$42:$K$45,0))</f>
      </c>
      <c r="S65" s="34">
        <f>INDEX(CALC!$F$42:$F$45,MATCH(LARGE(CALC!$K$42:$K$45,3),CALC!$K$42:$K$45,0))</f>
      </c>
      <c r="T65" s="34">
        <f>INDEX(CALC!$G$42:$G$45,MATCH(LARGE(CALC!$K$42:$K$45,3),CALC!$K$42:$K$45,0))</f>
      </c>
      <c r="U65" s="34">
        <f>INDEX(CALC!$H$42:$H$45,MATCH(LARGE(CALC!$K$42:$K$45,3),CALC!$K$42:$K$45,0))</f>
      </c>
      <c r="V65" s="35">
        <f>INDEX(CALC!$J$42:$J$45,MATCH(LARGE(CALC!$K$42:$K$45,3),CALC!$K$42:$K$45,0))</f>
      </c>
      <c r="X65" s="32">
        <v>3</v>
      </c>
      <c r="Y65" s="33">
        <f>INDEX(CALC!$B$46:$B$49,MATCH(LARGE(CALC!$K$46:$K$49,3),CALC!$K$46:$K$49,0))</f>
      </c>
      <c r="Z65" s="33"/>
      <c r="AA65" s="34">
        <f>INDEX(CALC!$C$46:$C$49,MATCH(LARGE(CALC!$K$46:$K$49,3),CALC!$K$46:$K$49,0))</f>
      </c>
      <c r="AB65" s="34">
        <f>INDEX(CALC!$D$46:$D$49,MATCH(LARGE(CALC!$K$46:$K$49,3),CALC!$K$46:$K$49,0))</f>
      </c>
      <c r="AC65" s="34">
        <f>INDEX(CALC!$E$46:$E$49,MATCH(LARGE(CALC!$K$46:$K$49,3),CALC!$K$46:$K$49,0))</f>
      </c>
      <c r="AD65" s="34">
        <f>INDEX(CALC!$F$46:$F$49,MATCH(LARGE(CALC!$K$46:$K$49,3),CALC!$K$46:$K$49,0))</f>
      </c>
      <c r="AE65" s="34">
        <f>INDEX(CALC!$G$46:$G$49,MATCH(LARGE(CALC!$K$46:$K$49,3),CALC!$K$46:$K$49,0))</f>
      </c>
      <c r="AF65" s="34">
        <f>INDEX(CALC!$H$46:$H$49,MATCH(LARGE(CALC!$K$46:$K$49,3),CALC!$K$46:$K$49,0))</f>
      </c>
      <c r="AG65" s="35">
        <f>INDEX(CALC!$J$46:$J$49,MATCH(LARGE(CALC!$K$46:$K$49,3),CALC!$K$46:$K$49,0))</f>
      </c>
    </row>
    <row r="66" spans="2:33" x14ac:dyDescent="0.25">
      <c r="B66" s="36">
        <v>4</v>
      </c>
      <c r="C66" s="37">
        <f>INDEX(CALC!$B$38:$B$41,MATCH(LARGE(CALC!$K$38:$K$41,4),CALC!$K$38:$K$41,0))</f>
      </c>
      <c r="D66" s="37"/>
      <c r="E66" s="38">
        <f>INDEX(CALC!$C$38:$C$41,MATCH(LARGE(CALC!$K$38:$K$41,4),CALC!$K$38:$K$41,0))</f>
      </c>
      <c r="F66" s="38">
        <f>INDEX(CALC!$D$38:$D$41,MATCH(LARGE(CALC!$K$38:$K$41,4),CALC!$K$38:$K$41,0))</f>
      </c>
      <c r="G66" s="38">
        <f>INDEX(CALC!$E$38:$E$41,MATCH(LARGE(CALC!$K$38:$K$41,4),CALC!$K$38:$K$41,0))</f>
      </c>
      <c r="H66" s="38">
        <f>INDEX(CALC!$F$38:$F$41,MATCH(LARGE(CALC!$K$38:$K$41,4),CALC!$K$38:$K$41,0))</f>
      </c>
      <c r="I66" s="38">
        <f>INDEX(CALC!$G$38:$G$41,MATCH(LARGE(CALC!$K$38:$K$41,4),CALC!$K$38:$K$41,0))</f>
      </c>
      <c r="J66" s="38">
        <f>INDEX(CALC!$H$38:$H$41,MATCH(LARGE(CALC!$K$38:$K$41,4),CALC!$K$38:$K$41,0))</f>
      </c>
      <c r="K66" s="39">
        <f>INDEX(CALC!$J$38:$J$41,MATCH(LARGE(CALC!$K$38:$K$41,4),CALC!$K$38:$K$41,0))</f>
      </c>
      <c r="M66" s="36">
        <v>4</v>
      </c>
      <c r="N66" s="37">
        <f>INDEX(CALC!$B$42:$B$45,MATCH(LARGE(CALC!$K$42:$K$45,4),CALC!$K$42:$K$45,0))</f>
      </c>
      <c r="O66" s="37"/>
      <c r="P66" s="38">
        <f>INDEX(CALC!$C$42:$C$45,MATCH(LARGE(CALC!$K$42:$K$45,4),CALC!$K$42:$K$45,0))</f>
      </c>
      <c r="Q66" s="38">
        <f>INDEX(CALC!$D$42:$D$45,MATCH(LARGE(CALC!$K$42:$K$45,4),CALC!$K$42:$K$45,0))</f>
      </c>
      <c r="R66" s="38">
        <f>INDEX(CALC!$E$42:$E$45,MATCH(LARGE(CALC!$K$42:$K$45,4),CALC!$K$42:$K$45,0))</f>
      </c>
      <c r="S66" s="38">
        <f>INDEX(CALC!$F$42:$F$45,MATCH(LARGE(CALC!$K$42:$K$45,4),CALC!$K$42:$K$45,0))</f>
      </c>
      <c r="T66" s="38">
        <f>INDEX(CALC!$G$42:$G$45,MATCH(LARGE(CALC!$K$42:$K$45,4),CALC!$K$42:$K$45,0))</f>
      </c>
      <c r="U66" s="38">
        <f>INDEX(CALC!$H$42:$H$45,MATCH(LARGE(CALC!$K$42:$K$45,4),CALC!$K$42:$K$45,0))</f>
      </c>
      <c r="V66" s="39">
        <f>INDEX(CALC!$J$42:$J$45,MATCH(LARGE(CALC!$K$42:$K$45,4),CALC!$K$42:$K$45,0))</f>
      </c>
      <c r="X66" s="36">
        <v>4</v>
      </c>
      <c r="Y66" s="37">
        <f>INDEX(CALC!$B$46:$B$49,MATCH(LARGE(CALC!$K$46:$K$49,4),CALC!$K$46:$K$49,0))</f>
      </c>
      <c r="Z66" s="37"/>
      <c r="AA66" s="38">
        <f>INDEX(CALC!$C$46:$C$49,MATCH(LARGE(CALC!$K$46:$K$49,4),CALC!$K$46:$K$49,0))</f>
      </c>
      <c r="AB66" s="38">
        <f>INDEX(CALC!$D$46:$D$49,MATCH(LARGE(CALC!$K$46:$K$49,4),CALC!$K$46:$K$49,0))</f>
      </c>
      <c r="AC66" s="38">
        <f>INDEX(CALC!$E$46:$E$49,MATCH(LARGE(CALC!$K$46:$K$49,4),CALC!$K$46:$K$49,0))</f>
      </c>
      <c r="AD66" s="38">
        <f>INDEX(CALC!$F$46:$F$49,MATCH(LARGE(CALC!$K$46:$K$49,4),CALC!$K$46:$K$49,0))</f>
      </c>
      <c r="AE66" s="38">
        <f>INDEX(CALC!$G$46:$G$49,MATCH(LARGE(CALC!$K$46:$K$49,4),CALC!$K$46:$K$49,0))</f>
      </c>
      <c r="AF66" s="38">
        <f>INDEX(CALC!$H$46:$H$49,MATCH(LARGE(CALC!$K$46:$K$49,4),CALC!$K$46:$K$49,0))</f>
      </c>
      <c r="AG66" s="39">
        <f>INDEX(CALC!$J$46:$J$49,MATCH(LARGE(CALC!$K$46:$K$49,4),CALC!$K$46:$K$49,0))</f>
      </c>
    </row>
  </sheetData>
  <mergeCells count="96">
    <mergeCell ref="B2:H2"/>
    <mergeCell ref="I2:K2"/>
    <mergeCell ref="M2:S2"/>
    <mergeCell ref="T2:V2"/>
    <mergeCell ref="X2:AD2"/>
    <mergeCell ref="AE2:AG2"/>
    <mergeCell ref="B10:K10"/>
    <mergeCell ref="M10:V10"/>
    <mergeCell ref="X10:AG10"/>
    <mergeCell ref="C11:D11"/>
    <mergeCell ref="N11:O11"/>
    <mergeCell ref="Y11:Z11"/>
    <mergeCell ref="C12:D12"/>
    <mergeCell ref="N12:O12"/>
    <mergeCell ref="Y12:Z12"/>
    <mergeCell ref="C13:D13"/>
    <mergeCell ref="N13:O13"/>
    <mergeCell ref="Y13:Z13"/>
    <mergeCell ref="C14:D14"/>
    <mergeCell ref="N14:O14"/>
    <mergeCell ref="Y14:Z14"/>
    <mergeCell ref="C15:D15"/>
    <mergeCell ref="N15:O15"/>
    <mergeCell ref="Y15:Z15"/>
    <mergeCell ref="B19:H19"/>
    <mergeCell ref="I19:K19"/>
    <mergeCell ref="M19:S19"/>
    <mergeCell ref="T19:V19"/>
    <mergeCell ref="X19:AD19"/>
    <mergeCell ref="AE19:AG19"/>
    <mergeCell ref="B27:K27"/>
    <mergeCell ref="M27:V27"/>
    <mergeCell ref="X27:AG27"/>
    <mergeCell ref="C28:D28"/>
    <mergeCell ref="N28:O28"/>
    <mergeCell ref="Y28:Z28"/>
    <mergeCell ref="C29:D29"/>
    <mergeCell ref="N29:O29"/>
    <mergeCell ref="Y29:Z29"/>
    <mergeCell ref="C30:D30"/>
    <mergeCell ref="N30:O30"/>
    <mergeCell ref="Y30:Z30"/>
    <mergeCell ref="C31:D31"/>
    <mergeCell ref="N31:O31"/>
    <mergeCell ref="Y31:Z31"/>
    <mergeCell ref="C32:D32"/>
    <mergeCell ref="N32:O32"/>
    <mergeCell ref="Y32:Z32"/>
    <mergeCell ref="B36:H36"/>
    <mergeCell ref="I36:K36"/>
    <mergeCell ref="M36:S36"/>
    <mergeCell ref="T36:V36"/>
    <mergeCell ref="X36:AD36"/>
    <mergeCell ref="AE36:AG36"/>
    <mergeCell ref="B44:K44"/>
    <mergeCell ref="M44:V44"/>
    <mergeCell ref="X44:AG44"/>
    <mergeCell ref="C45:D45"/>
    <mergeCell ref="N45:O45"/>
    <mergeCell ref="Y45:Z45"/>
    <mergeCell ref="C46:D46"/>
    <mergeCell ref="N46:O46"/>
    <mergeCell ref="Y46:Z46"/>
    <mergeCell ref="C47:D47"/>
    <mergeCell ref="N47:O47"/>
    <mergeCell ref="Y47:Z47"/>
    <mergeCell ref="C48:D48"/>
    <mergeCell ref="N48:O48"/>
    <mergeCell ref="Y48:Z48"/>
    <mergeCell ref="C49:D49"/>
    <mergeCell ref="N49:O49"/>
    <mergeCell ref="Y49:Z49"/>
    <mergeCell ref="B53:H53"/>
    <mergeCell ref="I53:K53"/>
    <mergeCell ref="M53:S53"/>
    <mergeCell ref="T53:V53"/>
    <mergeCell ref="X53:AD53"/>
    <mergeCell ref="AE53:AG53"/>
    <mergeCell ref="B61:K61"/>
    <mergeCell ref="M61:V61"/>
    <mergeCell ref="X61:AG61"/>
    <mergeCell ref="C62:D62"/>
    <mergeCell ref="N62:O62"/>
    <mergeCell ref="Y62:Z62"/>
    <mergeCell ref="C63:D63"/>
    <mergeCell ref="N63:O63"/>
    <mergeCell ref="Y63:Z63"/>
    <mergeCell ref="C64:D64"/>
    <mergeCell ref="N64:O64"/>
    <mergeCell ref="Y64:Z64"/>
    <mergeCell ref="C65:D65"/>
    <mergeCell ref="N65:O65"/>
    <mergeCell ref="Y65:Z65"/>
    <mergeCell ref="C66:D66"/>
    <mergeCell ref="N66:O66"/>
    <mergeCell ref="Y66:Z66"/>
  </mergeCells>
  <dataValidations count="24">
    <dataValidation type="whole" operator="greaterThanOrEqual" allowBlank="1" showErrorMessage="1" sqref="AC21:AC26">
      <formula1>0</formula1>
    </dataValidation>
    <dataValidation type="whole" operator="greaterThanOrEqual" allowBlank="1" showErrorMessage="1" sqref="AC38:AC43">
      <formula1>0</formula1>
    </dataValidation>
    <dataValidation type="whole" operator="greaterThanOrEqual" allowBlank="1" showErrorMessage="1" sqref="AC4:AC9">
      <formula1>0</formula1>
    </dataValidation>
    <dataValidation type="whole" operator="greaterThanOrEqual" allowBlank="1" showErrorMessage="1" sqref="AC55:AC60">
      <formula1>0</formula1>
    </dataValidation>
    <dataValidation type="whole" operator="greaterThanOrEqual" allowBlank="1" showErrorMessage="1" sqref="AE21:AE26">
      <formula1>0</formula1>
    </dataValidation>
    <dataValidation type="whole" operator="greaterThanOrEqual" allowBlank="1" showErrorMessage="1" sqref="AE38:AE43">
      <formula1>0</formula1>
    </dataValidation>
    <dataValidation type="whole" operator="greaterThanOrEqual" allowBlank="1" showErrorMessage="1" sqref="AE4:AE9">
      <formula1>0</formula1>
    </dataValidation>
    <dataValidation type="whole" operator="greaterThanOrEqual" allowBlank="1" showErrorMessage="1" sqref="AE55:AE60">
      <formula1>0</formula1>
    </dataValidation>
    <dataValidation type="whole" operator="greaterThanOrEqual" allowBlank="1" showErrorMessage="1" sqref="G21:G26">
      <formula1>0</formula1>
    </dataValidation>
    <dataValidation type="whole" operator="greaterThanOrEqual" allowBlank="1" showErrorMessage="1" sqref="G38:G43">
      <formula1>0</formula1>
    </dataValidation>
    <dataValidation type="whole" operator="greaterThanOrEqual" allowBlank="1" showErrorMessage="1" sqref="G4:G9">
      <formula1>0</formula1>
    </dataValidation>
    <dataValidation type="whole" operator="greaterThanOrEqual" allowBlank="1" showErrorMessage="1" sqref="G55:G60">
      <formula1>0</formula1>
    </dataValidation>
    <dataValidation type="whole" operator="greaterThanOrEqual" allowBlank="1" showErrorMessage="1" sqref="I21:I26">
      <formula1>0</formula1>
    </dataValidation>
    <dataValidation type="whole" operator="greaterThanOrEqual" allowBlank="1" showErrorMessage="1" sqref="I38:I43">
      <formula1>0</formula1>
    </dataValidation>
    <dataValidation type="whole" operator="greaterThanOrEqual" allowBlank="1" showErrorMessage="1" sqref="I4:I9">
      <formula1>0</formula1>
    </dataValidation>
    <dataValidation type="whole" operator="greaterThanOrEqual" allowBlank="1" showErrorMessage="1" sqref="I55:I60">
      <formula1>0</formula1>
    </dataValidation>
    <dataValidation type="whole" operator="greaterThanOrEqual" allowBlank="1" showErrorMessage="1" sqref="R21:R26">
      <formula1>0</formula1>
    </dataValidation>
    <dataValidation type="whole" operator="greaterThanOrEqual" allowBlank="1" showErrorMessage="1" sqref="R38:R43">
      <formula1>0</formula1>
    </dataValidation>
    <dataValidation type="whole" operator="greaterThanOrEqual" allowBlank="1" showErrorMessage="1" sqref="R4:R9">
      <formula1>0</formula1>
    </dataValidation>
    <dataValidation type="whole" operator="greaterThanOrEqual" allowBlank="1" showErrorMessage="1" sqref="R55:R60">
      <formula1>0</formula1>
    </dataValidation>
    <dataValidation type="whole" operator="greaterThanOrEqual" allowBlank="1" showErrorMessage="1" sqref="T21:T26">
      <formula1>0</formula1>
    </dataValidation>
    <dataValidation type="whole" operator="greaterThanOrEqual" allowBlank="1" showErrorMessage="1" sqref="T38:T43">
      <formula1>0</formula1>
    </dataValidation>
    <dataValidation type="whole" operator="greaterThanOrEqual" allowBlank="1" showErrorMessage="1" sqref="T4:T9">
      <formula1>0</formula1>
    </dataValidation>
    <dataValidation type="whole" operator="greaterThanOrEqual" allowBlank="1" showErrorMessage="1" sqref="T55:T6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FormatPr defaultRowHeight="15" outlineLevelRow="0" outlineLevelCol="0" x14ac:dyDescent="55"/>
  <sheetData>
    <row r="1" spans="1:11" x14ac:dyDescent="0.25">
      <c r="A1" t="s">
        <v>168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8</v>
      </c>
      <c r="H1" t="s">
        <v>10</v>
      </c>
      <c r="I1" t="s">
        <v>169</v>
      </c>
      <c r="J1" t="s">
        <v>59</v>
      </c>
      <c r="K1" t="s">
        <v>170</v>
      </c>
    </row>
    <row r="2" spans="2:11" x14ac:dyDescent="0.25">
      <c r="B2" t="s">
        <v>14</v>
      </c>
      <c r="C2">
        <f>COUNT('Fase de Grupos'!G4,'Fase de Grupos'!G7,'Fase de Grupos'!I8)</f>
      </c>
      <c r="D2">
        <f>IF(AND(ISNUMBER('Fase de Grupos'!G4),ISNUMBER('Fase de Grupos'!I4)),IF('Fase de Grupos'!G4&gt;'Fase de Grupos'!I4,1,0),0)+IF(AND(ISNUMBER('Fase de Grupos'!G7),ISNUMBER('Fase de Grupos'!I7)),IF('Fase de Grupos'!G7&gt;'Fase de Grupos'!I7,1,0),0)+IF(AND(ISNUMBER('Fase de Grupos'!G8),ISNUMBER('Fase de Grupos'!I8)),IF('Fase de Grupos'!I8&gt;'Fase de Grupos'!G8,1,0),0)</f>
      </c>
      <c r="E2">
        <f>IF(AND(ISNUMBER('Fase de Grupos'!G4),ISNUMBER('Fase de Grupos'!I4)),IF('Fase de Grupos'!G4='Fase de Grupos'!I4,1,0),0)+IF(AND(ISNUMBER('Fase de Grupos'!G7),ISNUMBER('Fase de Grupos'!I7)),IF('Fase de Grupos'!G7='Fase de Grupos'!I7,1,0),0)+IF(AND(ISNUMBER('Fase de Grupos'!G8),ISNUMBER('Fase de Grupos'!I8)),IF('Fase de Grupos'!I8='Fase de Grupos'!G8,1,0),0)</f>
      </c>
      <c r="F2">
        <f>IF(AND(ISNUMBER('Fase de Grupos'!G4),ISNUMBER('Fase de Grupos'!I4)),IF('Fase de Grupos'!G4&lt;'Fase de Grupos'!I4,1,0),0)+IF(AND(ISNUMBER('Fase de Grupos'!G7),ISNUMBER('Fase de Grupos'!I7)),IF('Fase de Grupos'!G7&lt;'Fase de Grupos'!I7,1,0),0)+IF(AND(ISNUMBER('Fase de Grupos'!G8),ISNUMBER('Fase de Grupos'!I8)),IF('Fase de Grupos'!I8&lt;'Fase de Grupos'!G8,1,0),0)</f>
      </c>
      <c r="G2">
        <f>SUM('Fase de Grupos'!G4,'Fase de Grupos'!G7,'Fase de Grupos'!I8)</f>
      </c>
      <c r="H2">
        <f>SUM('Fase de Grupos'!I4,'Fase de Grupos'!I7,'Fase de Grupos'!G8)</f>
      </c>
      <c r="I2">
        <f>G2-H2</f>
      </c>
      <c r="J2">
        <f>D2*3+E2</f>
      </c>
      <c r="K2">
        <f>J2*100000+(I2+1000)*100+G2*10+3</f>
      </c>
    </row>
    <row r="3" spans="2:11" x14ac:dyDescent="0.25">
      <c r="B3" t="s">
        <v>16</v>
      </c>
      <c r="C3">
        <f>COUNT('Fase de Grupos'!G9,'Fase de Grupos'!I4,'Fase de Grupos'!I6)</f>
      </c>
      <c r="D3">
        <f>IF(AND(ISNUMBER('Fase de Grupos'!G9),ISNUMBER('Fase de Grupos'!I9)),IF('Fase de Grupos'!G9&gt;'Fase de Grupos'!I9,1,0),0)+IF(AND(ISNUMBER('Fase de Grupos'!G4),ISNUMBER('Fase de Grupos'!I4)),IF('Fase de Grupos'!I4&gt;'Fase de Grupos'!G4,1,0),0)+IF(AND(ISNUMBER('Fase de Grupos'!G6),ISNUMBER('Fase de Grupos'!I6)),IF('Fase de Grupos'!I6&gt;'Fase de Grupos'!G6,1,0),0)</f>
      </c>
      <c r="E3">
        <f>IF(AND(ISNUMBER('Fase de Grupos'!G9),ISNUMBER('Fase de Grupos'!I9)),IF('Fase de Grupos'!G9='Fase de Grupos'!I9,1,0),0)+IF(AND(ISNUMBER('Fase de Grupos'!G4),ISNUMBER('Fase de Grupos'!I4)),IF('Fase de Grupos'!I4='Fase de Grupos'!G4,1,0),0)+IF(AND(ISNUMBER('Fase de Grupos'!G6),ISNUMBER('Fase de Grupos'!I6)),IF('Fase de Grupos'!I6='Fase de Grupos'!G6,1,0),0)</f>
      </c>
      <c r="F3">
        <f>IF(AND(ISNUMBER('Fase de Grupos'!G9),ISNUMBER('Fase de Grupos'!I9)),IF('Fase de Grupos'!G9&lt;'Fase de Grupos'!I9,1,0),0)+IF(AND(ISNUMBER('Fase de Grupos'!G4),ISNUMBER('Fase de Grupos'!I4)),IF('Fase de Grupos'!I4&lt;'Fase de Grupos'!G4,1,0),0)+IF(AND(ISNUMBER('Fase de Grupos'!G6),ISNUMBER('Fase de Grupos'!I6)),IF('Fase de Grupos'!I6&lt;'Fase de Grupos'!G6,1,0),0)</f>
      </c>
      <c r="G3">
        <f>SUM('Fase de Grupos'!G9,'Fase de Grupos'!I4,'Fase de Grupos'!I6)</f>
      </c>
      <c r="H3">
        <f>SUM('Fase de Grupos'!I9,'Fase de Grupos'!G4,'Fase de Grupos'!G6)</f>
      </c>
      <c r="I3">
        <f>G3-H3</f>
      </c>
      <c r="J3">
        <f>D3*3+E3</f>
      </c>
      <c r="K3">
        <f>J3*100000+(I3+1000)*100+G3*10+2</f>
      </c>
    </row>
    <row r="4" spans="2:11" x14ac:dyDescent="0.25">
      <c r="B4" t="s">
        <v>26</v>
      </c>
      <c r="C4">
        <f>COUNT('Fase de Grupos'!G5,'Fase de Grupos'!I7,'Fase de Grupos'!I9)</f>
      </c>
      <c r="D4">
        <f>IF(AND(ISNUMBER('Fase de Grupos'!G5),ISNUMBER('Fase de Grupos'!I5)),IF('Fase de Grupos'!G5&gt;'Fase de Grupos'!I5,1,0),0)+IF(AND(ISNUMBER('Fase de Grupos'!G7),ISNUMBER('Fase de Grupos'!I7)),IF('Fase de Grupos'!I7&gt;'Fase de Grupos'!G7,1,0),0)+IF(AND(ISNUMBER('Fase de Grupos'!G9),ISNUMBER('Fase de Grupos'!I9)),IF('Fase de Grupos'!I9&gt;'Fase de Grupos'!G9,1,0),0)</f>
      </c>
      <c r="E4">
        <f>IF(AND(ISNUMBER('Fase de Grupos'!G5),ISNUMBER('Fase de Grupos'!I5)),IF('Fase de Grupos'!G5='Fase de Grupos'!I5,1,0),0)+IF(AND(ISNUMBER('Fase de Grupos'!G7),ISNUMBER('Fase de Grupos'!I7)),IF('Fase de Grupos'!I7='Fase de Grupos'!G7,1,0),0)+IF(AND(ISNUMBER('Fase de Grupos'!G9),ISNUMBER('Fase de Grupos'!I9)),IF('Fase de Grupos'!I9='Fase de Grupos'!G9,1,0),0)</f>
      </c>
      <c r="F4">
        <f>IF(AND(ISNUMBER('Fase de Grupos'!G5),ISNUMBER('Fase de Grupos'!I5)),IF('Fase de Grupos'!G5&lt;'Fase de Grupos'!I5,1,0),0)+IF(AND(ISNUMBER('Fase de Grupos'!G7),ISNUMBER('Fase de Grupos'!I7)),IF('Fase de Grupos'!I7&lt;'Fase de Grupos'!G7,1,0),0)+IF(AND(ISNUMBER('Fase de Grupos'!G9),ISNUMBER('Fase de Grupos'!I9)),IF('Fase de Grupos'!I9&lt;'Fase de Grupos'!G9,1,0),0)</f>
      </c>
      <c r="G4">
        <f>SUM('Fase de Grupos'!G5,'Fase de Grupos'!I7,'Fase de Grupos'!I9)</f>
      </c>
      <c r="H4">
        <f>SUM('Fase de Grupos'!I5,'Fase de Grupos'!G7,'Fase de Grupos'!G9)</f>
      </c>
      <c r="I4">
        <f>G4-H4</f>
      </c>
      <c r="J4">
        <f>D4*3+E4</f>
      </c>
      <c r="K4">
        <f>J4*100000+(I4+1000)*100+G4*10+1</f>
      </c>
    </row>
    <row r="5" spans="1:11" x14ac:dyDescent="0.25">
      <c r="A5" t="s">
        <v>171</v>
      </c>
      <c r="B5" t="s">
        <v>27</v>
      </c>
      <c r="C5">
        <f>COUNT('Fase de Grupos'!G6,'Fase de Grupos'!G8,'Fase de Grupos'!I5)</f>
      </c>
      <c r="D5">
        <f>IF(AND(ISNUMBER('Fase de Grupos'!G6),ISNUMBER('Fase de Grupos'!I6)),IF('Fase de Grupos'!G6&gt;'Fase de Grupos'!I6,1,0),0)+IF(AND(ISNUMBER('Fase de Grupos'!G8),ISNUMBER('Fase de Grupos'!I8)),IF('Fase de Grupos'!G8&gt;'Fase de Grupos'!I8,1,0),0)+IF(AND(ISNUMBER('Fase de Grupos'!G5),ISNUMBER('Fase de Grupos'!I5)),IF('Fase de Grupos'!I5&gt;'Fase de Grupos'!G5,1,0),0)</f>
      </c>
      <c r="E5">
        <f>IF(AND(ISNUMBER('Fase de Grupos'!G6),ISNUMBER('Fase de Grupos'!I6)),IF('Fase de Grupos'!G6='Fase de Grupos'!I6,1,0),0)+IF(AND(ISNUMBER('Fase de Grupos'!G8),ISNUMBER('Fase de Grupos'!I8)),IF('Fase de Grupos'!G8='Fase de Grupos'!I8,1,0),0)+IF(AND(ISNUMBER('Fase de Grupos'!G5),ISNUMBER('Fase de Grupos'!I5)),IF('Fase de Grupos'!I5='Fase de Grupos'!G5,1,0),0)</f>
      </c>
      <c r="F5">
        <f>IF(AND(ISNUMBER('Fase de Grupos'!G6),ISNUMBER('Fase de Grupos'!I6)),IF('Fase de Grupos'!G6&lt;'Fase de Grupos'!I6,1,0),0)+IF(AND(ISNUMBER('Fase de Grupos'!G8),ISNUMBER('Fase de Grupos'!I8)),IF('Fase de Grupos'!G8&lt;'Fase de Grupos'!I8,1,0),0)+IF(AND(ISNUMBER('Fase de Grupos'!G5),ISNUMBER('Fase de Grupos'!I5)),IF('Fase de Grupos'!I5&lt;'Fase de Grupos'!G5,1,0),0)</f>
      </c>
      <c r="G5">
        <f>SUM('Fase de Grupos'!G6,'Fase de Grupos'!G8,'Fase de Grupos'!I5)</f>
      </c>
      <c r="H5">
        <f>SUM('Fase de Grupos'!I6,'Fase de Grupos'!I8,'Fase de Grupos'!G5)</f>
      </c>
      <c r="I5">
        <f>G5-H5</f>
      </c>
      <c r="J5">
        <f>D5*3+E5</f>
      </c>
      <c r="K5">
        <f>J5*100000+(I5+1000)*100+G5*10+0</f>
      </c>
    </row>
    <row r="6" spans="2:11" x14ac:dyDescent="0.25">
      <c r="B6" t="s">
        <v>19</v>
      </c>
      <c r="C6">
        <f>COUNT('Fase de Grupos'!R4,'Fase de Grupos'!R7,'Fase de Grupos'!T8)</f>
      </c>
      <c r="D6">
        <f>IF(AND(ISNUMBER('Fase de Grupos'!R4),ISNUMBER('Fase de Grupos'!T4)),IF('Fase de Grupos'!R4&gt;'Fase de Grupos'!T4,1,0),0)+IF(AND(ISNUMBER('Fase de Grupos'!R7),ISNUMBER('Fase de Grupos'!T7)),IF('Fase de Grupos'!R7&gt;'Fase de Grupos'!T7,1,0),0)+IF(AND(ISNUMBER('Fase de Grupos'!R8),ISNUMBER('Fase de Grupos'!T8)),IF('Fase de Grupos'!T8&gt;'Fase de Grupos'!R8,1,0),0)</f>
      </c>
      <c r="E6">
        <f>IF(AND(ISNUMBER('Fase de Grupos'!R4),ISNUMBER('Fase de Grupos'!T4)),IF('Fase de Grupos'!R4='Fase de Grupos'!T4,1,0),0)+IF(AND(ISNUMBER('Fase de Grupos'!R7),ISNUMBER('Fase de Grupos'!T7)),IF('Fase de Grupos'!R7='Fase de Grupos'!T7,1,0),0)+IF(AND(ISNUMBER('Fase de Grupos'!R8),ISNUMBER('Fase de Grupos'!T8)),IF('Fase de Grupos'!T8='Fase de Grupos'!R8,1,0),0)</f>
      </c>
      <c r="F6">
        <f>IF(AND(ISNUMBER('Fase de Grupos'!R4),ISNUMBER('Fase de Grupos'!T4)),IF('Fase de Grupos'!R4&lt;'Fase de Grupos'!T4,1,0),0)+IF(AND(ISNUMBER('Fase de Grupos'!R7),ISNUMBER('Fase de Grupos'!T7)),IF('Fase de Grupos'!R7&lt;'Fase de Grupos'!T7,1,0),0)+IF(AND(ISNUMBER('Fase de Grupos'!R8),ISNUMBER('Fase de Grupos'!T8)),IF('Fase de Grupos'!T8&lt;'Fase de Grupos'!R8,1,0),0)</f>
      </c>
      <c r="G6">
        <f>SUM('Fase de Grupos'!R4,'Fase de Grupos'!R7,'Fase de Grupos'!T8)</f>
      </c>
      <c r="H6">
        <f>SUM('Fase de Grupos'!T4,'Fase de Grupos'!T7,'Fase de Grupos'!R8)</f>
      </c>
      <c r="I6">
        <f>G6-H6</f>
      </c>
      <c r="J6">
        <f>D6*3+E6</f>
      </c>
      <c r="K6">
        <f>J6*100000+(I6+1000)*100+G6*10+3</f>
      </c>
    </row>
    <row r="7" spans="2:11" x14ac:dyDescent="0.25">
      <c r="B7" t="s">
        <v>31</v>
      </c>
      <c r="C7">
        <f>COUNT('Fase de Grupos'!R6,'Fase de Grupos'!R8,'Fase de Grupos'!T5)</f>
      </c>
      <c r="D7">
        <f>IF(AND(ISNUMBER('Fase de Grupos'!R6),ISNUMBER('Fase de Grupos'!T6)),IF('Fase de Grupos'!R6&gt;'Fase de Grupos'!T6,1,0),0)+IF(AND(ISNUMBER('Fase de Grupos'!R8),ISNUMBER('Fase de Grupos'!T8)),IF('Fase de Grupos'!R8&gt;'Fase de Grupos'!T8,1,0),0)+IF(AND(ISNUMBER('Fase de Grupos'!R5),ISNUMBER('Fase de Grupos'!T5)),IF('Fase de Grupos'!T5&gt;'Fase de Grupos'!R5,1,0),0)</f>
      </c>
      <c r="E7">
        <f>IF(AND(ISNUMBER('Fase de Grupos'!R6),ISNUMBER('Fase de Grupos'!T6)),IF('Fase de Grupos'!R6='Fase de Grupos'!T6,1,0),0)+IF(AND(ISNUMBER('Fase de Grupos'!R8),ISNUMBER('Fase de Grupos'!T8)),IF('Fase de Grupos'!R8='Fase de Grupos'!T8,1,0),0)+IF(AND(ISNUMBER('Fase de Grupos'!R5),ISNUMBER('Fase de Grupos'!T5)),IF('Fase de Grupos'!T5='Fase de Grupos'!R5,1,0),0)</f>
      </c>
      <c r="F7">
        <f>IF(AND(ISNUMBER('Fase de Grupos'!R6),ISNUMBER('Fase de Grupos'!T6)),IF('Fase de Grupos'!R6&lt;'Fase de Grupos'!T6,1,0),0)+IF(AND(ISNUMBER('Fase de Grupos'!R8),ISNUMBER('Fase de Grupos'!T8)),IF('Fase de Grupos'!R8&lt;'Fase de Grupos'!T8,1,0),0)+IF(AND(ISNUMBER('Fase de Grupos'!R5),ISNUMBER('Fase de Grupos'!T5)),IF('Fase de Grupos'!T5&lt;'Fase de Grupos'!R5,1,0),0)</f>
      </c>
      <c r="G7">
        <f>SUM('Fase de Grupos'!R6,'Fase de Grupos'!R8,'Fase de Grupos'!T5)</f>
      </c>
      <c r="H7">
        <f>SUM('Fase de Grupos'!T6,'Fase de Grupos'!T8,'Fase de Grupos'!R5)</f>
      </c>
      <c r="I7">
        <f>G7-H7</f>
      </c>
      <c r="J7">
        <f>D7*3+E7</f>
      </c>
      <c r="K7">
        <f>J7*100000+(I7+1000)*100+G7*10+2</f>
      </c>
    </row>
    <row r="8" spans="2:11" x14ac:dyDescent="0.25">
      <c r="B8" t="s">
        <v>30</v>
      </c>
      <c r="C8">
        <f>COUNT('Fase de Grupos'!R5,'Fase de Grupos'!T7,'Fase de Grupos'!T9)</f>
      </c>
      <c r="D8">
        <f>IF(AND(ISNUMBER('Fase de Grupos'!R5),ISNUMBER('Fase de Grupos'!T5)),IF('Fase de Grupos'!R5&gt;'Fase de Grupos'!T5,1,0),0)+IF(AND(ISNUMBER('Fase de Grupos'!R7),ISNUMBER('Fase de Grupos'!T7)),IF('Fase de Grupos'!T7&gt;'Fase de Grupos'!R7,1,0),0)+IF(AND(ISNUMBER('Fase de Grupos'!R9),ISNUMBER('Fase de Grupos'!T9)),IF('Fase de Grupos'!T9&gt;'Fase de Grupos'!R9,1,0),0)</f>
      </c>
      <c r="E8">
        <f>IF(AND(ISNUMBER('Fase de Grupos'!R5),ISNUMBER('Fase de Grupos'!T5)),IF('Fase de Grupos'!R5='Fase de Grupos'!T5,1,0),0)+IF(AND(ISNUMBER('Fase de Grupos'!R7),ISNUMBER('Fase de Grupos'!T7)),IF('Fase de Grupos'!T7='Fase de Grupos'!R7,1,0),0)+IF(AND(ISNUMBER('Fase de Grupos'!R9),ISNUMBER('Fase de Grupos'!T9)),IF('Fase de Grupos'!T9='Fase de Grupos'!R9,1,0),0)</f>
      </c>
      <c r="F8">
        <f>IF(AND(ISNUMBER('Fase de Grupos'!R5),ISNUMBER('Fase de Grupos'!T5)),IF('Fase de Grupos'!R5&lt;'Fase de Grupos'!T5,1,0),0)+IF(AND(ISNUMBER('Fase de Grupos'!R7),ISNUMBER('Fase de Grupos'!T7)),IF('Fase de Grupos'!T7&lt;'Fase de Grupos'!R7,1,0),0)+IF(AND(ISNUMBER('Fase de Grupos'!R9),ISNUMBER('Fase de Grupos'!T9)),IF('Fase de Grupos'!T9&lt;'Fase de Grupos'!R9,1,0),0)</f>
      </c>
      <c r="G8">
        <f>SUM('Fase de Grupos'!R5,'Fase de Grupos'!T7,'Fase de Grupos'!T9)</f>
      </c>
      <c r="H8">
        <f>SUM('Fase de Grupos'!T5,'Fase de Grupos'!R7,'Fase de Grupos'!R9)</f>
      </c>
      <c r="I8">
        <f>G8-H8</f>
      </c>
      <c r="J8">
        <f>D8*3+E8</f>
      </c>
      <c r="K8">
        <f>J8*100000+(I8+1000)*100+G8*10+1</f>
      </c>
    </row>
    <row r="9" spans="1:11" x14ac:dyDescent="0.25">
      <c r="A9" t="s">
        <v>172</v>
      </c>
      <c r="B9" t="s">
        <v>20</v>
      </c>
      <c r="C9">
        <f>COUNT('Fase de Grupos'!R9,'Fase de Grupos'!T4,'Fase de Grupos'!T6)</f>
      </c>
      <c r="D9">
        <f>IF(AND(ISNUMBER('Fase de Grupos'!R9),ISNUMBER('Fase de Grupos'!T9)),IF('Fase de Grupos'!R9&gt;'Fase de Grupos'!T9,1,0),0)+IF(AND(ISNUMBER('Fase de Grupos'!R4),ISNUMBER('Fase de Grupos'!T4)),IF('Fase de Grupos'!T4&gt;'Fase de Grupos'!R4,1,0),0)+IF(AND(ISNUMBER('Fase de Grupos'!R6),ISNUMBER('Fase de Grupos'!T6)),IF('Fase de Grupos'!T6&gt;'Fase de Grupos'!R6,1,0),0)</f>
      </c>
      <c r="E9">
        <f>IF(AND(ISNUMBER('Fase de Grupos'!R9),ISNUMBER('Fase de Grupos'!T9)),IF('Fase de Grupos'!R9='Fase de Grupos'!T9,1,0),0)+IF(AND(ISNUMBER('Fase de Grupos'!R4),ISNUMBER('Fase de Grupos'!T4)),IF('Fase de Grupos'!T4='Fase de Grupos'!R4,1,0),0)+IF(AND(ISNUMBER('Fase de Grupos'!R6),ISNUMBER('Fase de Grupos'!T6)),IF('Fase de Grupos'!T6='Fase de Grupos'!R6,1,0),0)</f>
      </c>
      <c r="F9">
        <f>IF(AND(ISNUMBER('Fase de Grupos'!R9),ISNUMBER('Fase de Grupos'!T9)),IF('Fase de Grupos'!R9&lt;'Fase de Grupos'!T9,1,0),0)+IF(AND(ISNUMBER('Fase de Grupos'!R4),ISNUMBER('Fase de Grupos'!T4)),IF('Fase de Grupos'!T4&lt;'Fase de Grupos'!R4,1,0),0)+IF(AND(ISNUMBER('Fase de Grupos'!R6),ISNUMBER('Fase de Grupos'!T6)),IF('Fase de Grupos'!T6&lt;'Fase de Grupos'!R6,1,0),0)</f>
      </c>
      <c r="G9">
        <f>SUM('Fase de Grupos'!R9,'Fase de Grupos'!T4,'Fase de Grupos'!T6)</f>
      </c>
      <c r="H9">
        <f>SUM('Fase de Grupos'!T9,'Fase de Grupos'!R4,'Fase de Grupos'!R6)</f>
      </c>
      <c r="I9">
        <f>G9-H9</f>
      </c>
      <c r="J9">
        <f>D9*3+E9</f>
      </c>
      <c r="K9">
        <f>J9*100000+(I9+1000)*100+G9*10+0</f>
      </c>
    </row>
    <row r="10" spans="2:11" x14ac:dyDescent="0.25">
      <c r="B10" t="s">
        <v>33</v>
      </c>
      <c r="C10">
        <f>COUNT('Fase de Grupos'!AC5,'Fase de Grupos'!AC6,'Fase de Grupos'!AE8)</f>
      </c>
      <c r="D10">
        <f>IF(AND(ISNUMBER('Fase de Grupos'!AC5),ISNUMBER('Fase de Grupos'!AE5)),IF('Fase de Grupos'!AC5&gt;'Fase de Grupos'!AE5,1,0),0)+IF(AND(ISNUMBER('Fase de Grupos'!AC6),ISNUMBER('Fase de Grupos'!AE6)),IF('Fase de Grupos'!AC6&gt;'Fase de Grupos'!AE6,1,0),0)+IF(AND(ISNUMBER('Fase de Grupos'!AC8),ISNUMBER('Fase de Grupos'!AE8)),IF('Fase de Grupos'!AE8&gt;'Fase de Grupos'!AC8,1,0),0)</f>
      </c>
      <c r="E10">
        <f>IF(AND(ISNUMBER('Fase de Grupos'!AC5),ISNUMBER('Fase de Grupos'!AE5)),IF('Fase de Grupos'!AC5='Fase de Grupos'!AE5,1,0),0)+IF(AND(ISNUMBER('Fase de Grupos'!AC6),ISNUMBER('Fase de Grupos'!AE6)),IF('Fase de Grupos'!AC6='Fase de Grupos'!AE6,1,0),0)+IF(AND(ISNUMBER('Fase de Grupos'!AC8),ISNUMBER('Fase de Grupos'!AE8)),IF('Fase de Grupos'!AE8='Fase de Grupos'!AC8,1,0),0)</f>
      </c>
      <c r="F10">
        <f>IF(AND(ISNUMBER('Fase de Grupos'!AC5),ISNUMBER('Fase de Grupos'!AE5)),IF('Fase de Grupos'!AC5&lt;'Fase de Grupos'!AE5,1,0),0)+IF(AND(ISNUMBER('Fase de Grupos'!AC6),ISNUMBER('Fase de Grupos'!AE6)),IF('Fase de Grupos'!AC6&lt;'Fase de Grupos'!AE6,1,0),0)+IF(AND(ISNUMBER('Fase de Grupos'!AC8),ISNUMBER('Fase de Grupos'!AE8)),IF('Fase de Grupos'!AE8&lt;'Fase de Grupos'!AC8,1,0),0)</f>
      </c>
      <c r="G10">
        <f>SUM('Fase de Grupos'!AC5,'Fase de Grupos'!AC6,'Fase de Grupos'!AE8)</f>
      </c>
      <c r="H10">
        <f>SUM('Fase de Grupos'!AE5,'Fase de Grupos'!AE6,'Fase de Grupos'!AC8)</f>
      </c>
      <c r="I10">
        <f>G10-H10</f>
      </c>
      <c r="J10">
        <f>D10*3+E10</f>
      </c>
      <c r="K10">
        <f>J10*100000+(I10+1000)*100+G10*10+3</f>
      </c>
    </row>
    <row r="11" spans="2:11" x14ac:dyDescent="0.25">
      <c r="B11" t="s">
        <v>34</v>
      </c>
      <c r="C11">
        <f>COUNT('Fase de Grupos'!AC9,'Fase de Grupos'!AE5,'Fase de Grupos'!AE7)</f>
      </c>
      <c r="D11">
        <f>IF(AND(ISNUMBER('Fase de Grupos'!AC9),ISNUMBER('Fase de Grupos'!AE9)),IF('Fase de Grupos'!AC9&gt;'Fase de Grupos'!AE9,1,0),0)+IF(AND(ISNUMBER('Fase de Grupos'!AC5),ISNUMBER('Fase de Grupos'!AE5)),IF('Fase de Grupos'!AE5&gt;'Fase de Grupos'!AC5,1,0),0)+IF(AND(ISNUMBER('Fase de Grupos'!AC7),ISNUMBER('Fase de Grupos'!AE7)),IF('Fase de Grupos'!AE7&gt;'Fase de Grupos'!AC7,1,0),0)</f>
      </c>
      <c r="E11">
        <f>IF(AND(ISNUMBER('Fase de Grupos'!AC9),ISNUMBER('Fase de Grupos'!AE9)),IF('Fase de Grupos'!AC9='Fase de Grupos'!AE9,1,0),0)+IF(AND(ISNUMBER('Fase de Grupos'!AC5),ISNUMBER('Fase de Grupos'!AE5)),IF('Fase de Grupos'!AE5='Fase de Grupos'!AC5,1,0),0)+IF(AND(ISNUMBER('Fase de Grupos'!AC7),ISNUMBER('Fase de Grupos'!AE7)),IF('Fase de Grupos'!AE7='Fase de Grupos'!AC7,1,0),0)</f>
      </c>
      <c r="F11">
        <f>IF(AND(ISNUMBER('Fase de Grupos'!AC9),ISNUMBER('Fase de Grupos'!AE9)),IF('Fase de Grupos'!AC9&lt;'Fase de Grupos'!AE9,1,0),0)+IF(AND(ISNUMBER('Fase de Grupos'!AC5),ISNUMBER('Fase de Grupos'!AE5)),IF('Fase de Grupos'!AE5&lt;'Fase de Grupos'!AC5,1,0),0)+IF(AND(ISNUMBER('Fase de Grupos'!AC7),ISNUMBER('Fase de Grupos'!AE7)),IF('Fase de Grupos'!AE7&lt;'Fase de Grupos'!AC7,1,0),0)</f>
      </c>
      <c r="G11">
        <f>SUM('Fase de Grupos'!AC9,'Fase de Grupos'!AE5,'Fase de Grupos'!AE7)</f>
      </c>
      <c r="H11">
        <f>SUM('Fase de Grupos'!AE9,'Fase de Grupos'!AC5,'Fase de Grupos'!AC7)</f>
      </c>
      <c r="I11">
        <f>G11-H11</f>
      </c>
      <c r="J11">
        <f>D11*3+E11</f>
      </c>
      <c r="K11">
        <f>J11*100000+(I11+1000)*100+G11*10+2</f>
      </c>
    </row>
    <row r="12" spans="2:11" x14ac:dyDescent="0.25">
      <c r="B12" t="s">
        <v>24</v>
      </c>
      <c r="C12">
        <f>COUNT('Fase de Grupos'!AC7,'Fase de Grupos'!AC8,'Fase de Grupos'!AE4)</f>
      </c>
      <c r="D12">
        <f>IF(AND(ISNUMBER('Fase de Grupos'!AC7),ISNUMBER('Fase de Grupos'!AE7)),IF('Fase de Grupos'!AC7&gt;'Fase de Grupos'!AE7,1,0),0)+IF(AND(ISNUMBER('Fase de Grupos'!AC8),ISNUMBER('Fase de Grupos'!AE8)),IF('Fase de Grupos'!AC8&gt;'Fase de Grupos'!AE8,1,0),0)+IF(AND(ISNUMBER('Fase de Grupos'!AC4),ISNUMBER('Fase de Grupos'!AE4)),IF('Fase de Grupos'!AE4&gt;'Fase de Grupos'!AC4,1,0),0)</f>
      </c>
      <c r="E12">
        <f>IF(AND(ISNUMBER('Fase de Grupos'!AC7),ISNUMBER('Fase de Grupos'!AE7)),IF('Fase de Grupos'!AC7='Fase de Grupos'!AE7,1,0),0)+IF(AND(ISNUMBER('Fase de Grupos'!AC8),ISNUMBER('Fase de Grupos'!AE8)),IF('Fase de Grupos'!AC8='Fase de Grupos'!AE8,1,0),0)+IF(AND(ISNUMBER('Fase de Grupos'!AC4),ISNUMBER('Fase de Grupos'!AE4)),IF('Fase de Grupos'!AE4='Fase de Grupos'!AC4,1,0),0)</f>
      </c>
      <c r="F12">
        <f>IF(AND(ISNUMBER('Fase de Grupos'!AC7),ISNUMBER('Fase de Grupos'!AE7)),IF('Fase de Grupos'!AC7&lt;'Fase de Grupos'!AE7,1,0),0)+IF(AND(ISNUMBER('Fase de Grupos'!AC8),ISNUMBER('Fase de Grupos'!AE8)),IF('Fase de Grupos'!AC8&lt;'Fase de Grupos'!AE8,1,0),0)+IF(AND(ISNUMBER('Fase de Grupos'!AC4),ISNUMBER('Fase de Grupos'!AE4)),IF('Fase de Grupos'!AE4&lt;'Fase de Grupos'!AC4,1,0),0)</f>
      </c>
      <c r="G12">
        <f>SUM('Fase de Grupos'!AC7,'Fase de Grupos'!AC8,'Fase de Grupos'!AE4)</f>
      </c>
      <c r="H12">
        <f>SUM('Fase de Grupos'!AE7,'Fase de Grupos'!AE8,'Fase de Grupos'!AC4)</f>
      </c>
      <c r="I12">
        <f>G12-H12</f>
      </c>
      <c r="J12">
        <f>D12*3+E12</f>
      </c>
      <c r="K12">
        <f>J12*100000+(I12+1000)*100+G12*10+1</f>
      </c>
    </row>
    <row r="13" spans="1:11" x14ac:dyDescent="0.25">
      <c r="A13" t="s">
        <v>173</v>
      </c>
      <c r="B13" t="s">
        <v>23</v>
      </c>
      <c r="C13">
        <f>COUNT('Fase de Grupos'!AC4,'Fase de Grupos'!AE6,'Fase de Grupos'!AE9)</f>
      </c>
      <c r="D13">
        <f>IF(AND(ISNUMBER('Fase de Grupos'!AC4),ISNUMBER('Fase de Grupos'!AE4)),IF('Fase de Grupos'!AC4&gt;'Fase de Grupos'!AE4,1,0),0)+IF(AND(ISNUMBER('Fase de Grupos'!AC6),ISNUMBER('Fase de Grupos'!AE6)),IF('Fase de Grupos'!AE6&gt;'Fase de Grupos'!AC6,1,0),0)+IF(AND(ISNUMBER('Fase de Grupos'!AC9),ISNUMBER('Fase de Grupos'!AE9)),IF('Fase de Grupos'!AE9&gt;'Fase de Grupos'!AC9,1,0),0)</f>
      </c>
      <c r="E13">
        <f>IF(AND(ISNUMBER('Fase de Grupos'!AC4),ISNUMBER('Fase de Grupos'!AE4)),IF('Fase de Grupos'!AC4='Fase de Grupos'!AE4,1,0),0)+IF(AND(ISNUMBER('Fase de Grupos'!AC6),ISNUMBER('Fase de Grupos'!AE6)),IF('Fase de Grupos'!AE6='Fase de Grupos'!AC6,1,0),0)+IF(AND(ISNUMBER('Fase de Grupos'!AC9),ISNUMBER('Fase de Grupos'!AE9)),IF('Fase de Grupos'!AE9='Fase de Grupos'!AC9,1,0),0)</f>
      </c>
      <c r="F13">
        <f>IF(AND(ISNUMBER('Fase de Grupos'!AC4),ISNUMBER('Fase de Grupos'!AE4)),IF('Fase de Grupos'!AC4&lt;'Fase de Grupos'!AE4,1,0),0)+IF(AND(ISNUMBER('Fase de Grupos'!AC6),ISNUMBER('Fase de Grupos'!AE6)),IF('Fase de Grupos'!AE6&lt;'Fase de Grupos'!AC6,1,0),0)+IF(AND(ISNUMBER('Fase de Grupos'!AC9),ISNUMBER('Fase de Grupos'!AE9)),IF('Fase de Grupos'!AE9&lt;'Fase de Grupos'!AC9,1,0),0)</f>
      </c>
      <c r="G13">
        <f>SUM('Fase de Grupos'!AC4,'Fase de Grupos'!AE6,'Fase de Grupos'!AE9)</f>
      </c>
      <c r="H13">
        <f>SUM('Fase de Grupos'!AE4,'Fase de Grupos'!AC6,'Fase de Grupos'!AC9)</f>
      </c>
      <c r="I13">
        <f>G13-H13</f>
      </c>
      <c r="J13">
        <f>D13*3+E13</f>
      </c>
      <c r="K13">
        <f>J13*100000+(I13+1000)*100+G13*10+0</f>
      </c>
    </row>
    <row r="14" spans="2:11" x14ac:dyDescent="0.25">
      <c r="B14" t="s">
        <v>64</v>
      </c>
      <c r="C14">
        <f>COUNT('Fase de Grupos'!G21,'Fase de Grupos'!G24,'Fase de Grupos'!I25)</f>
      </c>
      <c r="D14">
        <f>IF(AND(ISNUMBER('Fase de Grupos'!G21),ISNUMBER('Fase de Grupos'!I21)),IF('Fase de Grupos'!G21&gt;'Fase de Grupos'!I21,1,0),0)+IF(AND(ISNUMBER('Fase de Grupos'!G24),ISNUMBER('Fase de Grupos'!I24)),IF('Fase de Grupos'!G24&gt;'Fase de Grupos'!I24,1,0),0)+IF(AND(ISNUMBER('Fase de Grupos'!G25),ISNUMBER('Fase de Grupos'!I25)),IF('Fase de Grupos'!I25&gt;'Fase de Grupos'!G25,1,0),0)</f>
      </c>
      <c r="E14">
        <f>IF(AND(ISNUMBER('Fase de Grupos'!G21),ISNUMBER('Fase de Grupos'!I21)),IF('Fase de Grupos'!G21='Fase de Grupos'!I21,1,0),0)+IF(AND(ISNUMBER('Fase de Grupos'!G24),ISNUMBER('Fase de Grupos'!I24)),IF('Fase de Grupos'!G24='Fase de Grupos'!I24,1,0),0)+IF(AND(ISNUMBER('Fase de Grupos'!G25),ISNUMBER('Fase de Grupos'!I25)),IF('Fase de Grupos'!I25='Fase de Grupos'!G25,1,0),0)</f>
      </c>
      <c r="F14">
        <f>IF(AND(ISNUMBER('Fase de Grupos'!G21),ISNUMBER('Fase de Grupos'!I21)),IF('Fase de Grupos'!G21&lt;'Fase de Grupos'!I21,1,0),0)+IF(AND(ISNUMBER('Fase de Grupos'!G24),ISNUMBER('Fase de Grupos'!I24)),IF('Fase de Grupos'!G24&lt;'Fase de Grupos'!I24,1,0),0)+IF(AND(ISNUMBER('Fase de Grupos'!G25),ISNUMBER('Fase de Grupos'!I25)),IF('Fase de Grupos'!I25&lt;'Fase de Grupos'!G25,1,0),0)</f>
      </c>
      <c r="G14">
        <f>SUM('Fase de Grupos'!G21,'Fase de Grupos'!G24,'Fase de Grupos'!I25)</f>
      </c>
      <c r="H14">
        <f>SUM('Fase de Grupos'!I21,'Fase de Grupos'!I24,'Fase de Grupos'!G25)</f>
      </c>
      <c r="I14">
        <f>G14-H14</f>
      </c>
      <c r="J14">
        <f>D14*3+E14</f>
      </c>
      <c r="K14">
        <f>J14*100000+(I14+1000)*100+G14*10+3</f>
      </c>
    </row>
    <row r="15" spans="2:11" x14ac:dyDescent="0.25">
      <c r="B15" t="s">
        <v>65</v>
      </c>
      <c r="C15">
        <f>COUNT('Fase de Grupos'!G26,'Fase de Grupos'!I21,'Fase de Grupos'!I23)</f>
      </c>
      <c r="D15">
        <f>IF(AND(ISNUMBER('Fase de Grupos'!G26),ISNUMBER('Fase de Grupos'!I26)),IF('Fase de Grupos'!G26&gt;'Fase de Grupos'!I26,1,0),0)+IF(AND(ISNUMBER('Fase de Grupos'!G21),ISNUMBER('Fase de Grupos'!I21)),IF('Fase de Grupos'!I21&gt;'Fase de Grupos'!G21,1,0),0)+IF(AND(ISNUMBER('Fase de Grupos'!G23),ISNUMBER('Fase de Grupos'!I23)),IF('Fase de Grupos'!I23&gt;'Fase de Grupos'!G23,1,0),0)</f>
      </c>
      <c r="E15">
        <f>IF(AND(ISNUMBER('Fase de Grupos'!G26),ISNUMBER('Fase de Grupos'!I26)),IF('Fase de Grupos'!G26='Fase de Grupos'!I26,1,0),0)+IF(AND(ISNUMBER('Fase de Grupos'!G21),ISNUMBER('Fase de Grupos'!I21)),IF('Fase de Grupos'!I21='Fase de Grupos'!G21,1,0),0)+IF(AND(ISNUMBER('Fase de Grupos'!G23),ISNUMBER('Fase de Grupos'!I23)),IF('Fase de Grupos'!I23='Fase de Grupos'!G23,1,0),0)</f>
      </c>
      <c r="F15">
        <f>IF(AND(ISNUMBER('Fase de Grupos'!G26),ISNUMBER('Fase de Grupos'!I26)),IF('Fase de Grupos'!G26&lt;'Fase de Grupos'!I26,1,0),0)+IF(AND(ISNUMBER('Fase de Grupos'!G21),ISNUMBER('Fase de Grupos'!I21)),IF('Fase de Grupos'!I21&lt;'Fase de Grupos'!G21,1,0),0)+IF(AND(ISNUMBER('Fase de Grupos'!G23),ISNUMBER('Fase de Grupos'!I23)),IF('Fase de Grupos'!I23&lt;'Fase de Grupos'!G23,1,0),0)</f>
      </c>
      <c r="G15">
        <f>SUM('Fase de Grupos'!G26,'Fase de Grupos'!I21,'Fase de Grupos'!I23)</f>
      </c>
      <c r="H15">
        <f>SUM('Fase de Grupos'!I26,'Fase de Grupos'!G21,'Fase de Grupos'!G23)</f>
      </c>
      <c r="I15">
        <f>G15-H15</f>
      </c>
      <c r="J15">
        <f>D15*3+E15</f>
      </c>
      <c r="K15">
        <f>J15*100000+(I15+1000)*100+G15*10+2</f>
      </c>
    </row>
    <row r="16" spans="2:11" x14ac:dyDescent="0.25">
      <c r="B16" t="s">
        <v>74</v>
      </c>
      <c r="C16">
        <f>COUNT('Fase de Grupos'!G22,'Fase de Grupos'!I24,'Fase de Grupos'!I26)</f>
      </c>
      <c r="D16">
        <f>IF(AND(ISNUMBER('Fase de Grupos'!G22),ISNUMBER('Fase de Grupos'!I22)),IF('Fase de Grupos'!G22&gt;'Fase de Grupos'!I22,1,0),0)+IF(AND(ISNUMBER('Fase de Grupos'!G24),ISNUMBER('Fase de Grupos'!I24)),IF('Fase de Grupos'!I24&gt;'Fase de Grupos'!G24,1,0),0)+IF(AND(ISNUMBER('Fase de Grupos'!G26),ISNUMBER('Fase de Grupos'!I26)),IF('Fase de Grupos'!I26&gt;'Fase de Grupos'!G26,1,0),0)</f>
      </c>
      <c r="E16">
        <f>IF(AND(ISNUMBER('Fase de Grupos'!G22),ISNUMBER('Fase de Grupos'!I22)),IF('Fase de Grupos'!G22='Fase de Grupos'!I22,1,0),0)+IF(AND(ISNUMBER('Fase de Grupos'!G24),ISNUMBER('Fase de Grupos'!I24)),IF('Fase de Grupos'!I24='Fase de Grupos'!G24,1,0),0)+IF(AND(ISNUMBER('Fase de Grupos'!G26),ISNUMBER('Fase de Grupos'!I26)),IF('Fase de Grupos'!I26='Fase de Grupos'!G26,1,0),0)</f>
      </c>
      <c r="F16">
        <f>IF(AND(ISNUMBER('Fase de Grupos'!G22),ISNUMBER('Fase de Grupos'!I22)),IF('Fase de Grupos'!G22&lt;'Fase de Grupos'!I22,1,0),0)+IF(AND(ISNUMBER('Fase de Grupos'!G24),ISNUMBER('Fase de Grupos'!I24)),IF('Fase de Grupos'!I24&lt;'Fase de Grupos'!G24,1,0),0)+IF(AND(ISNUMBER('Fase de Grupos'!G26),ISNUMBER('Fase de Grupos'!I26)),IF('Fase de Grupos'!I26&lt;'Fase de Grupos'!G26,1,0),0)</f>
      </c>
      <c r="G16">
        <f>SUM('Fase de Grupos'!G22,'Fase de Grupos'!I24,'Fase de Grupos'!I26)</f>
      </c>
      <c r="H16">
        <f>SUM('Fase de Grupos'!I22,'Fase de Grupos'!G24,'Fase de Grupos'!G26)</f>
      </c>
      <c r="I16">
        <f>G16-H16</f>
      </c>
      <c r="J16">
        <f>D16*3+E16</f>
      </c>
      <c r="K16">
        <f>J16*100000+(I16+1000)*100+G16*10+1</f>
      </c>
    </row>
    <row r="17" spans="1:11" x14ac:dyDescent="0.25">
      <c r="A17" t="s">
        <v>57</v>
      </c>
      <c r="B17" t="s">
        <v>75</v>
      </c>
      <c r="C17">
        <f>COUNT('Fase de Grupos'!G23,'Fase de Grupos'!G25,'Fase de Grupos'!I22)</f>
      </c>
      <c r="D17">
        <f>IF(AND(ISNUMBER('Fase de Grupos'!G23),ISNUMBER('Fase de Grupos'!I23)),IF('Fase de Grupos'!G23&gt;'Fase de Grupos'!I23,1,0),0)+IF(AND(ISNUMBER('Fase de Grupos'!G25),ISNUMBER('Fase de Grupos'!I25)),IF('Fase de Grupos'!G25&gt;'Fase de Grupos'!I25,1,0),0)+IF(AND(ISNUMBER('Fase de Grupos'!G22),ISNUMBER('Fase de Grupos'!I22)),IF('Fase de Grupos'!I22&gt;'Fase de Grupos'!G22,1,0),0)</f>
      </c>
      <c r="E17">
        <f>IF(AND(ISNUMBER('Fase de Grupos'!G23),ISNUMBER('Fase de Grupos'!I23)),IF('Fase de Grupos'!G23='Fase de Grupos'!I23,1,0),0)+IF(AND(ISNUMBER('Fase de Grupos'!G25),ISNUMBER('Fase de Grupos'!I25)),IF('Fase de Grupos'!G25='Fase de Grupos'!I25,1,0),0)+IF(AND(ISNUMBER('Fase de Grupos'!G22),ISNUMBER('Fase de Grupos'!I22)),IF('Fase de Grupos'!I22='Fase de Grupos'!G22,1,0),0)</f>
      </c>
      <c r="F17">
        <f>IF(AND(ISNUMBER('Fase de Grupos'!G23),ISNUMBER('Fase de Grupos'!I23)),IF('Fase de Grupos'!G23&lt;'Fase de Grupos'!I23,1,0),0)+IF(AND(ISNUMBER('Fase de Grupos'!G25),ISNUMBER('Fase de Grupos'!I25)),IF('Fase de Grupos'!G25&lt;'Fase de Grupos'!I25,1,0),0)+IF(AND(ISNUMBER('Fase de Grupos'!G22),ISNUMBER('Fase de Grupos'!I22)),IF('Fase de Grupos'!I22&lt;'Fase de Grupos'!G22,1,0),0)</f>
      </c>
      <c r="G17">
        <f>SUM('Fase de Grupos'!G23,'Fase de Grupos'!G25,'Fase de Grupos'!I22)</f>
      </c>
      <c r="H17">
        <f>SUM('Fase de Grupos'!I23,'Fase de Grupos'!I25,'Fase de Grupos'!G22)</f>
      </c>
      <c r="I17">
        <f>G17-H17</f>
      </c>
      <c r="J17">
        <f>D17*3+E17</f>
      </c>
      <c r="K17">
        <f>J17*100000+(I17+1000)*100+G17*10+0</f>
      </c>
    </row>
    <row r="18" spans="2:11" x14ac:dyDescent="0.25">
      <c r="B18" t="s">
        <v>77</v>
      </c>
      <c r="C18">
        <f>COUNT('Fase de Grupos'!R22,'Fase de Grupos'!R23,'Fase de Grupos'!T26)</f>
      </c>
      <c r="D18">
        <f>IF(AND(ISNUMBER('Fase de Grupos'!R22),ISNUMBER('Fase de Grupos'!T22)),IF('Fase de Grupos'!R22&gt;'Fase de Grupos'!T22,1,0),0)+IF(AND(ISNUMBER('Fase de Grupos'!R23),ISNUMBER('Fase de Grupos'!T23)),IF('Fase de Grupos'!R23&gt;'Fase de Grupos'!T23,1,0),0)+IF(AND(ISNUMBER('Fase de Grupos'!R26),ISNUMBER('Fase de Grupos'!T26)),IF('Fase de Grupos'!T26&gt;'Fase de Grupos'!R26,1,0),0)</f>
      </c>
      <c r="E18">
        <f>IF(AND(ISNUMBER('Fase de Grupos'!R22),ISNUMBER('Fase de Grupos'!T22)),IF('Fase de Grupos'!R22='Fase de Grupos'!T22,1,0),0)+IF(AND(ISNUMBER('Fase de Grupos'!R23),ISNUMBER('Fase de Grupos'!T23)),IF('Fase de Grupos'!R23='Fase de Grupos'!T23,1,0),0)+IF(AND(ISNUMBER('Fase de Grupos'!R26),ISNUMBER('Fase de Grupos'!T26)),IF('Fase de Grupos'!T26='Fase de Grupos'!R26,1,0),0)</f>
      </c>
      <c r="F18">
        <f>IF(AND(ISNUMBER('Fase de Grupos'!R22),ISNUMBER('Fase de Grupos'!T22)),IF('Fase de Grupos'!R22&lt;'Fase de Grupos'!T22,1,0),0)+IF(AND(ISNUMBER('Fase de Grupos'!R23),ISNUMBER('Fase de Grupos'!T23)),IF('Fase de Grupos'!R23&lt;'Fase de Grupos'!T23,1,0),0)+IF(AND(ISNUMBER('Fase de Grupos'!R26),ISNUMBER('Fase de Grupos'!T26)),IF('Fase de Grupos'!T26&lt;'Fase de Grupos'!R26,1,0),0)</f>
      </c>
      <c r="G18">
        <f>SUM('Fase de Grupos'!R22,'Fase de Grupos'!R23,'Fase de Grupos'!T26)</f>
      </c>
      <c r="H18">
        <f>SUM('Fase de Grupos'!T22,'Fase de Grupos'!T23,'Fase de Grupos'!R26)</f>
      </c>
      <c r="I18">
        <f>G18-H18</f>
      </c>
      <c r="J18">
        <f>D18*3+E18</f>
      </c>
      <c r="K18">
        <f>J18*100000+(I18+1000)*100+G18*10+3</f>
      </c>
    </row>
    <row r="19" spans="2:11" x14ac:dyDescent="0.25">
      <c r="B19" t="s">
        <v>78</v>
      </c>
      <c r="C19">
        <f>COUNT('Fase de Grupos'!R25,'Fase de Grupos'!T22,'Fase de Grupos'!T24)</f>
      </c>
      <c r="D19">
        <f>IF(AND(ISNUMBER('Fase de Grupos'!R25),ISNUMBER('Fase de Grupos'!T25)),IF('Fase de Grupos'!R25&gt;'Fase de Grupos'!T25,1,0),0)+IF(AND(ISNUMBER('Fase de Grupos'!R22),ISNUMBER('Fase de Grupos'!T22)),IF('Fase de Grupos'!T22&gt;'Fase de Grupos'!R22,1,0),0)+IF(AND(ISNUMBER('Fase de Grupos'!R24),ISNUMBER('Fase de Grupos'!T24)),IF('Fase de Grupos'!T24&gt;'Fase de Grupos'!R24,1,0),0)</f>
      </c>
      <c r="E19">
        <f>IF(AND(ISNUMBER('Fase de Grupos'!R25),ISNUMBER('Fase de Grupos'!T25)),IF('Fase de Grupos'!R25='Fase de Grupos'!T25,1,0),0)+IF(AND(ISNUMBER('Fase de Grupos'!R22),ISNUMBER('Fase de Grupos'!T22)),IF('Fase de Grupos'!T22='Fase de Grupos'!R22,1,0),0)+IF(AND(ISNUMBER('Fase de Grupos'!R24),ISNUMBER('Fase de Grupos'!T24)),IF('Fase de Grupos'!T24='Fase de Grupos'!R24,1,0),0)</f>
      </c>
      <c r="F19">
        <f>IF(AND(ISNUMBER('Fase de Grupos'!R25),ISNUMBER('Fase de Grupos'!T25)),IF('Fase de Grupos'!R25&lt;'Fase de Grupos'!T25,1,0),0)+IF(AND(ISNUMBER('Fase de Grupos'!R22),ISNUMBER('Fase de Grupos'!T22)),IF('Fase de Grupos'!T22&lt;'Fase de Grupos'!R22,1,0),0)+IF(AND(ISNUMBER('Fase de Grupos'!R24),ISNUMBER('Fase de Grupos'!T24)),IF('Fase de Grupos'!T24&lt;'Fase de Grupos'!R24,1,0),0)</f>
      </c>
      <c r="G19">
        <f>SUM('Fase de Grupos'!R25,'Fase de Grupos'!T22,'Fase de Grupos'!T24)</f>
      </c>
      <c r="H19">
        <f>SUM('Fase de Grupos'!T25,'Fase de Grupos'!R22,'Fase de Grupos'!R24)</f>
      </c>
      <c r="I19">
        <f>G19-H19</f>
      </c>
      <c r="J19">
        <f>D19*3+E19</f>
      </c>
      <c r="K19">
        <f>J19*100000+(I19+1000)*100+G19*10+2</f>
      </c>
    </row>
    <row r="20" spans="2:11" x14ac:dyDescent="0.25">
      <c r="B20" t="s">
        <v>68</v>
      </c>
      <c r="C20">
        <f>COUNT('Fase de Grupos'!R21,'Fase de Grupos'!T23,'Fase de Grupos'!T25)</f>
      </c>
      <c r="D20">
        <f>IF(AND(ISNUMBER('Fase de Grupos'!R21),ISNUMBER('Fase de Grupos'!T21)),IF('Fase de Grupos'!R21&gt;'Fase de Grupos'!T21,1,0),0)+IF(AND(ISNUMBER('Fase de Grupos'!R23),ISNUMBER('Fase de Grupos'!T23)),IF('Fase de Grupos'!T23&gt;'Fase de Grupos'!R23,1,0),0)+IF(AND(ISNUMBER('Fase de Grupos'!R25),ISNUMBER('Fase de Grupos'!T25)),IF('Fase de Grupos'!T25&gt;'Fase de Grupos'!R25,1,0),0)</f>
      </c>
      <c r="E20">
        <f>IF(AND(ISNUMBER('Fase de Grupos'!R21),ISNUMBER('Fase de Grupos'!T21)),IF('Fase de Grupos'!R21='Fase de Grupos'!T21,1,0),0)+IF(AND(ISNUMBER('Fase de Grupos'!R23),ISNUMBER('Fase de Grupos'!T23)),IF('Fase de Grupos'!T23='Fase de Grupos'!R23,1,0),0)+IF(AND(ISNUMBER('Fase de Grupos'!R25),ISNUMBER('Fase de Grupos'!T25)),IF('Fase de Grupos'!T25='Fase de Grupos'!R25,1,0),0)</f>
      </c>
      <c r="F20">
        <f>IF(AND(ISNUMBER('Fase de Grupos'!R21),ISNUMBER('Fase de Grupos'!T21)),IF('Fase de Grupos'!R21&lt;'Fase de Grupos'!T21,1,0),0)+IF(AND(ISNUMBER('Fase de Grupos'!R23),ISNUMBER('Fase de Grupos'!T23)),IF('Fase de Grupos'!T23&lt;'Fase de Grupos'!R23,1,0),0)+IF(AND(ISNUMBER('Fase de Grupos'!R25),ISNUMBER('Fase de Grupos'!T25)),IF('Fase de Grupos'!T25&lt;'Fase de Grupos'!R25,1,0),0)</f>
      </c>
      <c r="G20">
        <f>SUM('Fase de Grupos'!R21,'Fase de Grupos'!T23,'Fase de Grupos'!T25)</f>
      </c>
      <c r="H20">
        <f>SUM('Fase de Grupos'!T21,'Fase de Grupos'!R23,'Fase de Grupos'!R25)</f>
      </c>
      <c r="I20">
        <f>G20-H20</f>
      </c>
      <c r="J20">
        <f>D20*3+E20</f>
      </c>
      <c r="K20">
        <f>J20*100000+(I20+1000)*100+G20*10+1</f>
      </c>
    </row>
    <row r="21" spans="1:11" x14ac:dyDescent="0.25">
      <c r="A21" t="s">
        <v>174</v>
      </c>
      <c r="B21" t="s">
        <v>69</v>
      </c>
      <c r="C21">
        <f>COUNT('Fase de Grupos'!R24,'Fase de Grupos'!R26,'Fase de Grupos'!T21)</f>
      </c>
      <c r="D21">
        <f>IF(AND(ISNUMBER('Fase de Grupos'!R24),ISNUMBER('Fase de Grupos'!T24)),IF('Fase de Grupos'!R24&gt;'Fase de Grupos'!T24,1,0),0)+IF(AND(ISNUMBER('Fase de Grupos'!R26),ISNUMBER('Fase de Grupos'!T26)),IF('Fase de Grupos'!R26&gt;'Fase de Grupos'!T26,1,0),0)+IF(AND(ISNUMBER('Fase de Grupos'!R21),ISNUMBER('Fase de Grupos'!T21)),IF('Fase de Grupos'!T21&gt;'Fase de Grupos'!R21,1,0),0)</f>
      </c>
      <c r="E21">
        <f>IF(AND(ISNUMBER('Fase de Grupos'!R24),ISNUMBER('Fase de Grupos'!T24)),IF('Fase de Grupos'!R24='Fase de Grupos'!T24,1,0),0)+IF(AND(ISNUMBER('Fase de Grupos'!R26),ISNUMBER('Fase de Grupos'!T26)),IF('Fase de Grupos'!R26='Fase de Grupos'!T26,1,0),0)+IF(AND(ISNUMBER('Fase de Grupos'!R21),ISNUMBER('Fase de Grupos'!T21)),IF('Fase de Grupos'!T21='Fase de Grupos'!R21,1,0),0)</f>
      </c>
      <c r="F21">
        <f>IF(AND(ISNUMBER('Fase de Grupos'!R24),ISNUMBER('Fase de Grupos'!T24)),IF('Fase de Grupos'!R24&lt;'Fase de Grupos'!T24,1,0),0)+IF(AND(ISNUMBER('Fase de Grupos'!R26),ISNUMBER('Fase de Grupos'!T26)),IF('Fase de Grupos'!R26&lt;'Fase de Grupos'!T26,1,0),0)+IF(AND(ISNUMBER('Fase de Grupos'!R21),ISNUMBER('Fase de Grupos'!T21)),IF('Fase de Grupos'!T21&lt;'Fase de Grupos'!R21,1,0),0)</f>
      </c>
      <c r="G21">
        <f>SUM('Fase de Grupos'!R24,'Fase de Grupos'!R26,'Fase de Grupos'!T21)</f>
      </c>
      <c r="H21">
        <f>SUM('Fase de Grupos'!T24,'Fase de Grupos'!T26,'Fase de Grupos'!R21)</f>
      </c>
      <c r="I21">
        <f>G21-H21</f>
      </c>
      <c r="J21">
        <f>D21*3+E21</f>
      </c>
      <c r="K21">
        <f>J21*100000+(I21+1000)*100+G21*10+0</f>
      </c>
    </row>
    <row r="22" spans="2:11" x14ac:dyDescent="0.25">
      <c r="B22" t="s">
        <v>71</v>
      </c>
      <c r="C22">
        <f>COUNT('Fase de Grupos'!AC21,'Fase de Grupos'!AC23,'Fase de Grupos'!AE26)</f>
      </c>
      <c r="D22">
        <f>IF(AND(ISNUMBER('Fase de Grupos'!AC21),ISNUMBER('Fase de Grupos'!AE21)),IF('Fase de Grupos'!AC21&gt;'Fase de Grupos'!AE21,1,0),0)+IF(AND(ISNUMBER('Fase de Grupos'!AC23),ISNUMBER('Fase de Grupos'!AE23)),IF('Fase de Grupos'!AC23&gt;'Fase de Grupos'!AE23,1,0),0)+IF(AND(ISNUMBER('Fase de Grupos'!AC26),ISNUMBER('Fase de Grupos'!AE26)),IF('Fase de Grupos'!AE26&gt;'Fase de Grupos'!AC26,1,0),0)</f>
      </c>
      <c r="E22">
        <f>IF(AND(ISNUMBER('Fase de Grupos'!AC21),ISNUMBER('Fase de Grupos'!AE21)),IF('Fase de Grupos'!AC21='Fase de Grupos'!AE21,1,0),0)+IF(AND(ISNUMBER('Fase de Grupos'!AC23),ISNUMBER('Fase de Grupos'!AE23)),IF('Fase de Grupos'!AC23='Fase de Grupos'!AE23,1,0),0)+IF(AND(ISNUMBER('Fase de Grupos'!AC26),ISNUMBER('Fase de Grupos'!AE26)),IF('Fase de Grupos'!AE26='Fase de Grupos'!AC26,1,0),0)</f>
      </c>
      <c r="F22">
        <f>IF(AND(ISNUMBER('Fase de Grupos'!AC21),ISNUMBER('Fase de Grupos'!AE21)),IF('Fase de Grupos'!AC21&lt;'Fase de Grupos'!AE21,1,0),0)+IF(AND(ISNUMBER('Fase de Grupos'!AC23),ISNUMBER('Fase de Grupos'!AE23)),IF('Fase de Grupos'!AC23&lt;'Fase de Grupos'!AE23,1,0),0)+IF(AND(ISNUMBER('Fase de Grupos'!AC26),ISNUMBER('Fase de Grupos'!AE26)),IF('Fase de Grupos'!AE26&lt;'Fase de Grupos'!AC26,1,0),0)</f>
      </c>
      <c r="G22">
        <f>SUM('Fase de Grupos'!AC21,'Fase de Grupos'!AC23,'Fase de Grupos'!AE26)</f>
      </c>
      <c r="H22">
        <f>SUM('Fase de Grupos'!AE21,'Fase de Grupos'!AE23,'Fase de Grupos'!AC26)</f>
      </c>
      <c r="I22">
        <f>G22-H22</f>
      </c>
      <c r="J22">
        <f>D22*3+E22</f>
      </c>
      <c r="K22">
        <f>J22*100000+(I22+1000)*100+G22*10+3</f>
      </c>
    </row>
    <row r="23" spans="2:11" x14ac:dyDescent="0.25">
      <c r="B23" t="s">
        <v>72</v>
      </c>
      <c r="C23">
        <f>COUNT('Fase de Grupos'!AC25,'Fase de Grupos'!AE21,'Fase de Grupos'!AE24)</f>
      </c>
      <c r="D23">
        <f>IF(AND(ISNUMBER('Fase de Grupos'!AC25),ISNUMBER('Fase de Grupos'!AE25)),IF('Fase de Grupos'!AC25&gt;'Fase de Grupos'!AE25,1,0),0)+IF(AND(ISNUMBER('Fase de Grupos'!AC21),ISNUMBER('Fase de Grupos'!AE21)),IF('Fase de Grupos'!AE21&gt;'Fase de Grupos'!AC21,1,0),0)+IF(AND(ISNUMBER('Fase de Grupos'!AC24),ISNUMBER('Fase de Grupos'!AE24)),IF('Fase de Grupos'!AE24&gt;'Fase de Grupos'!AC24,1,0),0)</f>
      </c>
      <c r="E23">
        <f>IF(AND(ISNUMBER('Fase de Grupos'!AC25),ISNUMBER('Fase de Grupos'!AE25)),IF('Fase de Grupos'!AC25='Fase de Grupos'!AE25,1,0),0)+IF(AND(ISNUMBER('Fase de Grupos'!AC21),ISNUMBER('Fase de Grupos'!AE21)),IF('Fase de Grupos'!AE21='Fase de Grupos'!AC21,1,0),0)+IF(AND(ISNUMBER('Fase de Grupos'!AC24),ISNUMBER('Fase de Grupos'!AE24)),IF('Fase de Grupos'!AE24='Fase de Grupos'!AC24,1,0),0)</f>
      </c>
      <c r="F23">
        <f>IF(AND(ISNUMBER('Fase de Grupos'!AC25),ISNUMBER('Fase de Grupos'!AE25)),IF('Fase de Grupos'!AC25&lt;'Fase de Grupos'!AE25,1,0),0)+IF(AND(ISNUMBER('Fase de Grupos'!AC21),ISNUMBER('Fase de Grupos'!AE21)),IF('Fase de Grupos'!AE21&lt;'Fase de Grupos'!AC21,1,0),0)+IF(AND(ISNUMBER('Fase de Grupos'!AC24),ISNUMBER('Fase de Grupos'!AE24)),IF('Fase de Grupos'!AE24&lt;'Fase de Grupos'!AC24,1,0),0)</f>
      </c>
      <c r="G23">
        <f>SUM('Fase de Grupos'!AC25,'Fase de Grupos'!AE21,'Fase de Grupos'!AE24)</f>
      </c>
      <c r="H23">
        <f>SUM('Fase de Grupos'!AE25,'Fase de Grupos'!AC21,'Fase de Grupos'!AC24)</f>
      </c>
      <c r="I23">
        <f>G23-H23</f>
      </c>
      <c r="J23">
        <f>D23*3+E23</f>
      </c>
      <c r="K23">
        <f>J23*100000+(I23+1000)*100+G23*10+2</f>
      </c>
    </row>
    <row r="24" spans="2:11" x14ac:dyDescent="0.25">
      <c r="B24" t="s">
        <v>81</v>
      </c>
      <c r="C24">
        <f>COUNT('Fase de Grupos'!AC24,'Fase de Grupos'!AC26,'Fase de Grupos'!AE22)</f>
      </c>
      <c r="D24">
        <f>IF(AND(ISNUMBER('Fase de Grupos'!AC24),ISNUMBER('Fase de Grupos'!AE24)),IF('Fase de Grupos'!AC24&gt;'Fase de Grupos'!AE24,1,0),0)+IF(AND(ISNUMBER('Fase de Grupos'!AC26),ISNUMBER('Fase de Grupos'!AE26)),IF('Fase de Grupos'!AC26&gt;'Fase de Grupos'!AE26,1,0),0)+IF(AND(ISNUMBER('Fase de Grupos'!AC22),ISNUMBER('Fase de Grupos'!AE22)),IF('Fase de Grupos'!AE22&gt;'Fase de Grupos'!AC22,1,0),0)</f>
      </c>
      <c r="E24">
        <f>IF(AND(ISNUMBER('Fase de Grupos'!AC24),ISNUMBER('Fase de Grupos'!AE24)),IF('Fase de Grupos'!AC24='Fase de Grupos'!AE24,1,0),0)+IF(AND(ISNUMBER('Fase de Grupos'!AC26),ISNUMBER('Fase de Grupos'!AE26)),IF('Fase de Grupos'!AC26='Fase de Grupos'!AE26,1,0),0)+IF(AND(ISNUMBER('Fase de Grupos'!AC22),ISNUMBER('Fase de Grupos'!AE22)),IF('Fase de Grupos'!AE22='Fase de Grupos'!AC22,1,0),0)</f>
      </c>
      <c r="F24">
        <f>IF(AND(ISNUMBER('Fase de Grupos'!AC24),ISNUMBER('Fase de Grupos'!AE24)),IF('Fase de Grupos'!AC24&lt;'Fase de Grupos'!AE24,1,0),0)+IF(AND(ISNUMBER('Fase de Grupos'!AC26),ISNUMBER('Fase de Grupos'!AE26)),IF('Fase de Grupos'!AC26&lt;'Fase de Grupos'!AE26,1,0),0)+IF(AND(ISNUMBER('Fase de Grupos'!AC22),ISNUMBER('Fase de Grupos'!AE22)),IF('Fase de Grupos'!AE22&lt;'Fase de Grupos'!AC22,1,0),0)</f>
      </c>
      <c r="G24">
        <f>SUM('Fase de Grupos'!AC24,'Fase de Grupos'!AC26,'Fase de Grupos'!AE22)</f>
      </c>
      <c r="H24">
        <f>SUM('Fase de Grupos'!AE24,'Fase de Grupos'!AE26,'Fase de Grupos'!AC22)</f>
      </c>
      <c r="I24">
        <f>G24-H24</f>
      </c>
      <c r="J24">
        <f>D24*3+E24</f>
      </c>
      <c r="K24">
        <f>J24*100000+(I24+1000)*100+G24*10+1</f>
      </c>
    </row>
    <row r="25" spans="1:11" x14ac:dyDescent="0.25">
      <c r="A25" t="s">
        <v>56</v>
      </c>
      <c r="B25" t="s">
        <v>80</v>
      </c>
      <c r="C25">
        <f>COUNT('Fase de Grupos'!AC22,'Fase de Grupos'!AE23,'Fase de Grupos'!AE25)</f>
      </c>
      <c r="D25">
        <f>IF(AND(ISNUMBER('Fase de Grupos'!AC22),ISNUMBER('Fase de Grupos'!AE22)),IF('Fase de Grupos'!AC22&gt;'Fase de Grupos'!AE22,1,0),0)+IF(AND(ISNUMBER('Fase de Grupos'!AC23),ISNUMBER('Fase de Grupos'!AE23)),IF('Fase de Grupos'!AE23&gt;'Fase de Grupos'!AC23,1,0),0)+IF(AND(ISNUMBER('Fase de Grupos'!AC25),ISNUMBER('Fase de Grupos'!AE25)),IF('Fase de Grupos'!AE25&gt;'Fase de Grupos'!AC25,1,0),0)</f>
      </c>
      <c r="E25">
        <f>IF(AND(ISNUMBER('Fase de Grupos'!AC22),ISNUMBER('Fase de Grupos'!AE22)),IF('Fase de Grupos'!AC22='Fase de Grupos'!AE22,1,0),0)+IF(AND(ISNUMBER('Fase de Grupos'!AC23),ISNUMBER('Fase de Grupos'!AE23)),IF('Fase de Grupos'!AE23='Fase de Grupos'!AC23,1,0),0)+IF(AND(ISNUMBER('Fase de Grupos'!AC25),ISNUMBER('Fase de Grupos'!AE25)),IF('Fase de Grupos'!AE25='Fase de Grupos'!AC25,1,0),0)</f>
      </c>
      <c r="F25">
        <f>IF(AND(ISNUMBER('Fase de Grupos'!AC22),ISNUMBER('Fase de Grupos'!AE22)),IF('Fase de Grupos'!AC22&lt;'Fase de Grupos'!AE22,1,0),0)+IF(AND(ISNUMBER('Fase de Grupos'!AC23),ISNUMBER('Fase de Grupos'!AE23)),IF('Fase de Grupos'!AE23&lt;'Fase de Grupos'!AC23,1,0),0)+IF(AND(ISNUMBER('Fase de Grupos'!AC25),ISNUMBER('Fase de Grupos'!AE25)),IF('Fase de Grupos'!AE25&lt;'Fase de Grupos'!AC25,1,0),0)</f>
      </c>
      <c r="G25">
        <f>SUM('Fase de Grupos'!AC22,'Fase de Grupos'!AE23,'Fase de Grupos'!AE25)</f>
      </c>
      <c r="H25">
        <f>SUM('Fase de Grupos'!AE22,'Fase de Grupos'!AC23,'Fase de Grupos'!AC25)</f>
      </c>
      <c r="I25">
        <f>G25-H25</f>
      </c>
      <c r="J25">
        <f>D25*3+E25</f>
      </c>
      <c r="K25">
        <f>J25*100000+(I25+1000)*100+G25*10+0</f>
      </c>
    </row>
    <row r="26" spans="2:11" x14ac:dyDescent="0.25">
      <c r="B26" t="s">
        <v>110</v>
      </c>
      <c r="C26">
        <f>COUNT('Fase de Grupos'!G39,'Fase de Grupos'!G40,'Fase de Grupos'!I43)</f>
      </c>
      <c r="D26">
        <f>IF(AND(ISNUMBER('Fase de Grupos'!G39),ISNUMBER('Fase de Grupos'!I39)),IF('Fase de Grupos'!G39&gt;'Fase de Grupos'!I39,1,0),0)+IF(AND(ISNUMBER('Fase de Grupos'!G40),ISNUMBER('Fase de Grupos'!I40)),IF('Fase de Grupos'!G40&gt;'Fase de Grupos'!I40,1,0),0)+IF(AND(ISNUMBER('Fase de Grupos'!G43),ISNUMBER('Fase de Grupos'!I43)),IF('Fase de Grupos'!I43&gt;'Fase de Grupos'!G43,1,0),0)</f>
      </c>
      <c r="E26">
        <f>IF(AND(ISNUMBER('Fase de Grupos'!G39),ISNUMBER('Fase de Grupos'!I39)),IF('Fase de Grupos'!G39='Fase de Grupos'!I39,1,0),0)+IF(AND(ISNUMBER('Fase de Grupos'!G40),ISNUMBER('Fase de Grupos'!I40)),IF('Fase de Grupos'!G40='Fase de Grupos'!I40,1,0),0)+IF(AND(ISNUMBER('Fase de Grupos'!G43),ISNUMBER('Fase de Grupos'!I43)),IF('Fase de Grupos'!I43='Fase de Grupos'!G43,1,0),0)</f>
      </c>
      <c r="F26">
        <f>IF(AND(ISNUMBER('Fase de Grupos'!G39),ISNUMBER('Fase de Grupos'!I39)),IF('Fase de Grupos'!G39&lt;'Fase de Grupos'!I39,1,0),0)+IF(AND(ISNUMBER('Fase de Grupos'!G40),ISNUMBER('Fase de Grupos'!I40)),IF('Fase de Grupos'!G40&lt;'Fase de Grupos'!I40,1,0),0)+IF(AND(ISNUMBER('Fase de Grupos'!G43),ISNUMBER('Fase de Grupos'!I43)),IF('Fase de Grupos'!I43&lt;'Fase de Grupos'!G43,1,0),0)</f>
      </c>
      <c r="G26">
        <f>SUM('Fase de Grupos'!G39,'Fase de Grupos'!G40,'Fase de Grupos'!I43)</f>
      </c>
      <c r="H26">
        <f>SUM('Fase de Grupos'!I39,'Fase de Grupos'!I40,'Fase de Grupos'!G43)</f>
      </c>
      <c r="I26">
        <f>G26-H26</f>
      </c>
      <c r="J26">
        <f>D26*3+E26</f>
      </c>
      <c r="K26">
        <f>J26*100000+(I26+1000)*100+G26*10+3</f>
      </c>
    </row>
    <row r="27" spans="2:11" x14ac:dyDescent="0.25">
      <c r="B27" t="s">
        <v>111</v>
      </c>
      <c r="C27">
        <f>COUNT('Fase de Grupos'!G42,'Fase de Grupos'!I39,'Fase de Grupos'!I41)</f>
      </c>
      <c r="D27">
        <f>IF(AND(ISNUMBER('Fase de Grupos'!G42),ISNUMBER('Fase de Grupos'!I42)),IF('Fase de Grupos'!G42&gt;'Fase de Grupos'!I42,1,0),0)+IF(AND(ISNUMBER('Fase de Grupos'!G39),ISNUMBER('Fase de Grupos'!I39)),IF('Fase de Grupos'!I39&gt;'Fase de Grupos'!G39,1,0),0)+IF(AND(ISNUMBER('Fase de Grupos'!G41),ISNUMBER('Fase de Grupos'!I41)),IF('Fase de Grupos'!I41&gt;'Fase de Grupos'!G41,1,0),0)</f>
      </c>
      <c r="E27">
        <f>IF(AND(ISNUMBER('Fase de Grupos'!G42),ISNUMBER('Fase de Grupos'!I42)),IF('Fase de Grupos'!G42='Fase de Grupos'!I42,1,0),0)+IF(AND(ISNUMBER('Fase de Grupos'!G39),ISNUMBER('Fase de Grupos'!I39)),IF('Fase de Grupos'!I39='Fase de Grupos'!G39,1,0),0)+IF(AND(ISNUMBER('Fase de Grupos'!G41),ISNUMBER('Fase de Grupos'!I41)),IF('Fase de Grupos'!I41='Fase de Grupos'!G41,1,0),0)</f>
      </c>
      <c r="F27">
        <f>IF(AND(ISNUMBER('Fase de Grupos'!G42),ISNUMBER('Fase de Grupos'!I42)),IF('Fase de Grupos'!G42&lt;'Fase de Grupos'!I42,1,0),0)+IF(AND(ISNUMBER('Fase de Grupos'!G39),ISNUMBER('Fase de Grupos'!I39)),IF('Fase de Grupos'!I39&lt;'Fase de Grupos'!G39,1,0),0)+IF(AND(ISNUMBER('Fase de Grupos'!G41),ISNUMBER('Fase de Grupos'!I41)),IF('Fase de Grupos'!I41&lt;'Fase de Grupos'!G41,1,0),0)</f>
      </c>
      <c r="G27">
        <f>SUM('Fase de Grupos'!G42,'Fase de Grupos'!I39,'Fase de Grupos'!I41)</f>
      </c>
      <c r="H27">
        <f>SUM('Fase de Grupos'!I42,'Fase de Grupos'!G39,'Fase de Grupos'!G41)</f>
      </c>
      <c r="I27">
        <f>G27-H27</f>
      </c>
      <c r="J27">
        <f>D27*3+E27</f>
      </c>
      <c r="K27">
        <f>J27*100000+(I27+1000)*100+G27*10+2</f>
      </c>
    </row>
    <row r="28" spans="2:11" x14ac:dyDescent="0.25">
      <c r="B28" t="s">
        <v>101</v>
      </c>
      <c r="C28">
        <f>COUNT('Fase de Grupos'!G38,'Fase de Grupos'!I40,'Fase de Grupos'!I42)</f>
      </c>
      <c r="D28">
        <f>IF(AND(ISNUMBER('Fase de Grupos'!G38),ISNUMBER('Fase de Grupos'!I38)),IF('Fase de Grupos'!G38&gt;'Fase de Grupos'!I38,1,0),0)+IF(AND(ISNUMBER('Fase de Grupos'!G40),ISNUMBER('Fase de Grupos'!I40)),IF('Fase de Grupos'!I40&gt;'Fase de Grupos'!G40,1,0),0)+IF(AND(ISNUMBER('Fase de Grupos'!G42),ISNUMBER('Fase de Grupos'!I42)),IF('Fase de Grupos'!I42&gt;'Fase de Grupos'!G42,1,0),0)</f>
      </c>
      <c r="E28">
        <f>IF(AND(ISNUMBER('Fase de Grupos'!G38),ISNUMBER('Fase de Grupos'!I38)),IF('Fase de Grupos'!G38='Fase de Grupos'!I38,1,0),0)+IF(AND(ISNUMBER('Fase de Grupos'!G40),ISNUMBER('Fase de Grupos'!I40)),IF('Fase de Grupos'!I40='Fase de Grupos'!G40,1,0),0)+IF(AND(ISNUMBER('Fase de Grupos'!G42),ISNUMBER('Fase de Grupos'!I42)),IF('Fase de Grupos'!I42='Fase de Grupos'!G42,1,0),0)</f>
      </c>
      <c r="F28">
        <f>IF(AND(ISNUMBER('Fase de Grupos'!G38),ISNUMBER('Fase de Grupos'!I38)),IF('Fase de Grupos'!G38&lt;'Fase de Grupos'!I38,1,0),0)+IF(AND(ISNUMBER('Fase de Grupos'!G40),ISNUMBER('Fase de Grupos'!I40)),IF('Fase de Grupos'!I40&lt;'Fase de Grupos'!G40,1,0),0)+IF(AND(ISNUMBER('Fase de Grupos'!G42),ISNUMBER('Fase de Grupos'!I42)),IF('Fase de Grupos'!I42&lt;'Fase de Grupos'!G42,1,0),0)</f>
      </c>
      <c r="G28">
        <f>SUM('Fase de Grupos'!G38,'Fase de Grupos'!I40,'Fase de Grupos'!I42)</f>
      </c>
      <c r="H28">
        <f>SUM('Fase de Grupos'!I38,'Fase de Grupos'!G40,'Fase de Grupos'!G42)</f>
      </c>
      <c r="I28">
        <f>G28-H28</f>
      </c>
      <c r="J28">
        <f>D28*3+E28</f>
      </c>
      <c r="K28">
        <f>J28*100000+(I28+1000)*100+G28*10+1</f>
      </c>
    </row>
    <row r="29" spans="1:11" x14ac:dyDescent="0.25">
      <c r="A29" t="s">
        <v>175</v>
      </c>
      <c r="B29" t="s">
        <v>102</v>
      </c>
      <c r="C29">
        <f>COUNT('Fase de Grupos'!G41,'Fase de Grupos'!G43,'Fase de Grupos'!I38)</f>
      </c>
      <c r="D29">
        <f>IF(AND(ISNUMBER('Fase de Grupos'!G41),ISNUMBER('Fase de Grupos'!I41)),IF('Fase de Grupos'!G41&gt;'Fase de Grupos'!I41,1,0),0)+IF(AND(ISNUMBER('Fase de Grupos'!G43),ISNUMBER('Fase de Grupos'!I43)),IF('Fase de Grupos'!G43&gt;'Fase de Grupos'!I43,1,0),0)+IF(AND(ISNUMBER('Fase de Grupos'!G38),ISNUMBER('Fase de Grupos'!I38)),IF('Fase de Grupos'!I38&gt;'Fase de Grupos'!G38,1,0),0)</f>
      </c>
      <c r="E29">
        <f>IF(AND(ISNUMBER('Fase de Grupos'!G41),ISNUMBER('Fase de Grupos'!I41)),IF('Fase de Grupos'!G41='Fase de Grupos'!I41,1,0),0)+IF(AND(ISNUMBER('Fase de Grupos'!G43),ISNUMBER('Fase de Grupos'!I43)),IF('Fase de Grupos'!G43='Fase de Grupos'!I43,1,0),0)+IF(AND(ISNUMBER('Fase de Grupos'!G38),ISNUMBER('Fase de Grupos'!I38)),IF('Fase de Grupos'!I38='Fase de Grupos'!G38,1,0),0)</f>
      </c>
      <c r="F29">
        <f>IF(AND(ISNUMBER('Fase de Grupos'!G41),ISNUMBER('Fase de Grupos'!I41)),IF('Fase de Grupos'!G41&lt;'Fase de Grupos'!I41,1,0),0)+IF(AND(ISNUMBER('Fase de Grupos'!G43),ISNUMBER('Fase de Grupos'!I43)),IF('Fase de Grupos'!G43&lt;'Fase de Grupos'!I43,1,0),0)+IF(AND(ISNUMBER('Fase de Grupos'!G38),ISNUMBER('Fase de Grupos'!I38)),IF('Fase de Grupos'!I38&lt;'Fase de Grupos'!G38,1,0),0)</f>
      </c>
      <c r="G29">
        <f>SUM('Fase de Grupos'!G41,'Fase de Grupos'!G43,'Fase de Grupos'!I38)</f>
      </c>
      <c r="H29">
        <f>SUM('Fase de Grupos'!I41,'Fase de Grupos'!I43,'Fase de Grupos'!G38)</f>
      </c>
      <c r="I29">
        <f>G29-H29</f>
      </c>
      <c r="J29">
        <f>D29*3+E29</f>
      </c>
      <c r="K29">
        <f>J29*100000+(I29+1000)*100+G29*10+0</f>
      </c>
    </row>
    <row r="30" spans="2:11" x14ac:dyDescent="0.25">
      <c r="B30" t="s">
        <v>113</v>
      </c>
      <c r="C30">
        <f>COUNT('Fase de Grupos'!R39,'Fase de Grupos'!R41,'Fase de Grupos'!T43)</f>
      </c>
      <c r="D30">
        <f>IF(AND(ISNUMBER('Fase de Grupos'!R39),ISNUMBER('Fase de Grupos'!T39)),IF('Fase de Grupos'!R39&gt;'Fase de Grupos'!T39,1,0),0)+IF(AND(ISNUMBER('Fase de Grupos'!R41),ISNUMBER('Fase de Grupos'!T41)),IF('Fase de Grupos'!R41&gt;'Fase de Grupos'!T41,1,0),0)+IF(AND(ISNUMBER('Fase de Grupos'!R43),ISNUMBER('Fase de Grupos'!T43)),IF('Fase de Grupos'!T43&gt;'Fase de Grupos'!R43,1,0),0)</f>
      </c>
      <c r="E30">
        <f>IF(AND(ISNUMBER('Fase de Grupos'!R39),ISNUMBER('Fase de Grupos'!T39)),IF('Fase de Grupos'!R39='Fase de Grupos'!T39,1,0),0)+IF(AND(ISNUMBER('Fase de Grupos'!R41),ISNUMBER('Fase de Grupos'!T41)),IF('Fase de Grupos'!R41='Fase de Grupos'!T41,1,0),0)+IF(AND(ISNUMBER('Fase de Grupos'!R43),ISNUMBER('Fase de Grupos'!T43)),IF('Fase de Grupos'!T43='Fase de Grupos'!R43,1,0),0)</f>
      </c>
      <c r="F30">
        <f>IF(AND(ISNUMBER('Fase de Grupos'!R39),ISNUMBER('Fase de Grupos'!T39)),IF('Fase de Grupos'!R39&lt;'Fase de Grupos'!T39,1,0),0)+IF(AND(ISNUMBER('Fase de Grupos'!R41),ISNUMBER('Fase de Grupos'!T41)),IF('Fase de Grupos'!R41&lt;'Fase de Grupos'!T41,1,0),0)+IF(AND(ISNUMBER('Fase de Grupos'!R43),ISNUMBER('Fase de Grupos'!T43)),IF('Fase de Grupos'!T43&lt;'Fase de Grupos'!R43,1,0),0)</f>
      </c>
      <c r="G30">
        <f>SUM('Fase de Grupos'!R39,'Fase de Grupos'!R41,'Fase de Grupos'!T43)</f>
      </c>
      <c r="H30">
        <f>SUM('Fase de Grupos'!T39,'Fase de Grupos'!T41,'Fase de Grupos'!R43)</f>
      </c>
      <c r="I30">
        <f>G30-H30</f>
      </c>
      <c r="J30">
        <f>D30*3+E30</f>
      </c>
      <c r="K30">
        <f>J30*100000+(I30+1000)*100+G30*10+3</f>
      </c>
    </row>
    <row r="31" spans="2:11" x14ac:dyDescent="0.25">
      <c r="B31" t="s">
        <v>105</v>
      </c>
      <c r="C31">
        <f>COUNT('Fase de Grupos'!R40,'Fase de Grupos'!R43,'Fase de Grupos'!T38)</f>
      </c>
      <c r="D31">
        <f>IF(AND(ISNUMBER('Fase de Grupos'!R40),ISNUMBER('Fase de Grupos'!T40)),IF('Fase de Grupos'!R40&gt;'Fase de Grupos'!T40,1,0),0)+IF(AND(ISNUMBER('Fase de Grupos'!R43),ISNUMBER('Fase de Grupos'!T43)),IF('Fase de Grupos'!R43&gt;'Fase de Grupos'!T43,1,0),0)+IF(AND(ISNUMBER('Fase de Grupos'!R38),ISNUMBER('Fase de Grupos'!T38)),IF('Fase de Grupos'!T38&gt;'Fase de Grupos'!R38,1,0),0)</f>
      </c>
      <c r="E31">
        <f>IF(AND(ISNUMBER('Fase de Grupos'!R40),ISNUMBER('Fase de Grupos'!T40)),IF('Fase de Grupos'!R40='Fase de Grupos'!T40,1,0),0)+IF(AND(ISNUMBER('Fase de Grupos'!R43),ISNUMBER('Fase de Grupos'!T43)),IF('Fase de Grupos'!R43='Fase de Grupos'!T43,1,0),0)+IF(AND(ISNUMBER('Fase de Grupos'!R38),ISNUMBER('Fase de Grupos'!T38)),IF('Fase de Grupos'!T38='Fase de Grupos'!R38,1,0),0)</f>
      </c>
      <c r="F31">
        <f>IF(AND(ISNUMBER('Fase de Grupos'!R40),ISNUMBER('Fase de Grupos'!T40)),IF('Fase de Grupos'!R40&lt;'Fase de Grupos'!T40,1,0),0)+IF(AND(ISNUMBER('Fase de Grupos'!R43),ISNUMBER('Fase de Grupos'!T43)),IF('Fase de Grupos'!R43&lt;'Fase de Grupos'!T43,1,0),0)+IF(AND(ISNUMBER('Fase de Grupos'!R38),ISNUMBER('Fase de Grupos'!T38)),IF('Fase de Grupos'!T38&lt;'Fase de Grupos'!R38,1,0),0)</f>
      </c>
      <c r="G31">
        <f>SUM('Fase de Grupos'!R40,'Fase de Grupos'!R43,'Fase de Grupos'!T38)</f>
      </c>
      <c r="H31">
        <f>SUM('Fase de Grupos'!T40,'Fase de Grupos'!T43,'Fase de Grupos'!R38)</f>
      </c>
      <c r="I31">
        <f>G31-H31</f>
      </c>
      <c r="J31">
        <f>D31*3+E31</f>
      </c>
      <c r="K31">
        <f>J31*100000+(I31+1000)*100+G31*10+2</f>
      </c>
    </row>
    <row r="32" spans="2:11" x14ac:dyDescent="0.25">
      <c r="B32" t="s">
        <v>104</v>
      </c>
      <c r="C32">
        <f>COUNT('Fase de Grupos'!R38,'Fase de Grupos'!T41,'Fase de Grupos'!T42)</f>
      </c>
      <c r="D32">
        <f>IF(AND(ISNUMBER('Fase de Grupos'!R38),ISNUMBER('Fase de Grupos'!T38)),IF('Fase de Grupos'!R38&gt;'Fase de Grupos'!T38,1,0),0)+IF(AND(ISNUMBER('Fase de Grupos'!R41),ISNUMBER('Fase de Grupos'!T41)),IF('Fase de Grupos'!T41&gt;'Fase de Grupos'!R41,1,0),0)+IF(AND(ISNUMBER('Fase de Grupos'!R42),ISNUMBER('Fase de Grupos'!T42)),IF('Fase de Grupos'!T42&gt;'Fase de Grupos'!R42,1,0),0)</f>
      </c>
      <c r="E32">
        <f>IF(AND(ISNUMBER('Fase de Grupos'!R38),ISNUMBER('Fase de Grupos'!T38)),IF('Fase de Grupos'!R38='Fase de Grupos'!T38,1,0),0)+IF(AND(ISNUMBER('Fase de Grupos'!R41),ISNUMBER('Fase de Grupos'!T41)),IF('Fase de Grupos'!T41='Fase de Grupos'!R41,1,0),0)+IF(AND(ISNUMBER('Fase de Grupos'!R42),ISNUMBER('Fase de Grupos'!T42)),IF('Fase de Grupos'!T42='Fase de Grupos'!R42,1,0),0)</f>
      </c>
      <c r="F32">
        <f>IF(AND(ISNUMBER('Fase de Grupos'!R38),ISNUMBER('Fase de Grupos'!T38)),IF('Fase de Grupos'!R38&lt;'Fase de Grupos'!T38,1,0),0)+IF(AND(ISNUMBER('Fase de Grupos'!R41),ISNUMBER('Fase de Grupos'!T41)),IF('Fase de Grupos'!T41&lt;'Fase de Grupos'!R41,1,0),0)+IF(AND(ISNUMBER('Fase de Grupos'!R42),ISNUMBER('Fase de Grupos'!T42)),IF('Fase de Grupos'!T42&lt;'Fase de Grupos'!R42,1,0),0)</f>
      </c>
      <c r="G32">
        <f>SUM('Fase de Grupos'!R38,'Fase de Grupos'!T41,'Fase de Grupos'!T42)</f>
      </c>
      <c r="H32">
        <f>SUM('Fase de Grupos'!T38,'Fase de Grupos'!R41,'Fase de Grupos'!R42)</f>
      </c>
      <c r="I32">
        <f>G32-H32</f>
      </c>
      <c r="J32">
        <f>D32*3+E32</f>
      </c>
      <c r="K32">
        <f>J32*100000+(I32+1000)*100+G32*10+1</f>
      </c>
    </row>
    <row r="33" spans="1:11" x14ac:dyDescent="0.25">
      <c r="A33" t="s">
        <v>176</v>
      </c>
      <c r="B33" t="s">
        <v>114</v>
      </c>
      <c r="C33">
        <f>COUNT('Fase de Grupos'!R42,'Fase de Grupos'!T39,'Fase de Grupos'!T40)</f>
      </c>
      <c r="D33">
        <f>IF(AND(ISNUMBER('Fase de Grupos'!R42),ISNUMBER('Fase de Grupos'!T42)),IF('Fase de Grupos'!R42&gt;'Fase de Grupos'!T42,1,0),0)+IF(AND(ISNUMBER('Fase de Grupos'!R39),ISNUMBER('Fase de Grupos'!T39)),IF('Fase de Grupos'!T39&gt;'Fase de Grupos'!R39,1,0),0)+IF(AND(ISNUMBER('Fase de Grupos'!R40),ISNUMBER('Fase de Grupos'!T40)),IF('Fase de Grupos'!T40&gt;'Fase de Grupos'!R40,1,0),0)</f>
      </c>
      <c r="E33">
        <f>IF(AND(ISNUMBER('Fase de Grupos'!R42),ISNUMBER('Fase de Grupos'!T42)),IF('Fase de Grupos'!R42='Fase de Grupos'!T42,1,0),0)+IF(AND(ISNUMBER('Fase de Grupos'!R39),ISNUMBER('Fase de Grupos'!T39)),IF('Fase de Grupos'!T39='Fase de Grupos'!R39,1,0),0)+IF(AND(ISNUMBER('Fase de Grupos'!R40),ISNUMBER('Fase de Grupos'!T40)),IF('Fase de Grupos'!T40='Fase de Grupos'!R40,1,0),0)</f>
      </c>
      <c r="F33">
        <f>IF(AND(ISNUMBER('Fase de Grupos'!R42),ISNUMBER('Fase de Grupos'!T42)),IF('Fase de Grupos'!R42&lt;'Fase de Grupos'!T42,1,0),0)+IF(AND(ISNUMBER('Fase de Grupos'!R39),ISNUMBER('Fase de Grupos'!T39)),IF('Fase de Grupos'!T39&lt;'Fase de Grupos'!R39,1,0),0)+IF(AND(ISNUMBER('Fase de Grupos'!R40),ISNUMBER('Fase de Grupos'!T40)),IF('Fase de Grupos'!T40&lt;'Fase de Grupos'!R40,1,0),0)</f>
      </c>
      <c r="G33">
        <f>SUM('Fase de Grupos'!R42,'Fase de Grupos'!T39,'Fase de Grupos'!T40)</f>
      </c>
      <c r="H33">
        <f>SUM('Fase de Grupos'!T42,'Fase de Grupos'!R39,'Fase de Grupos'!R40)</f>
      </c>
      <c r="I33">
        <f>G33-H33</f>
      </c>
      <c r="J33">
        <f>D33*3+E33</f>
      </c>
      <c r="K33">
        <f>J33*100000+(I33+1000)*100+G33*10+0</f>
      </c>
    </row>
    <row r="34" spans="2:11" x14ac:dyDescent="0.25">
      <c r="B34" t="s">
        <v>107</v>
      </c>
      <c r="C34">
        <f>COUNT('Fase de Grupos'!AC38,'Fase de Grupos'!AC41,'Fase de Grupos'!AE42)</f>
      </c>
      <c r="D34">
        <f>IF(AND(ISNUMBER('Fase de Grupos'!AC38),ISNUMBER('Fase de Grupos'!AE38)),IF('Fase de Grupos'!AC38&gt;'Fase de Grupos'!AE38,1,0),0)+IF(AND(ISNUMBER('Fase de Grupos'!AC41),ISNUMBER('Fase de Grupos'!AE41)),IF('Fase de Grupos'!AC41&gt;'Fase de Grupos'!AE41,1,0),0)+IF(AND(ISNUMBER('Fase de Grupos'!AC42),ISNUMBER('Fase de Grupos'!AE42)),IF('Fase de Grupos'!AE42&gt;'Fase de Grupos'!AC42,1,0),0)</f>
      </c>
      <c r="E34">
        <f>IF(AND(ISNUMBER('Fase de Grupos'!AC38),ISNUMBER('Fase de Grupos'!AE38)),IF('Fase de Grupos'!AC38='Fase de Grupos'!AE38,1,0),0)+IF(AND(ISNUMBER('Fase de Grupos'!AC41),ISNUMBER('Fase de Grupos'!AE41)),IF('Fase de Grupos'!AC41='Fase de Grupos'!AE41,1,0),0)+IF(AND(ISNUMBER('Fase de Grupos'!AC42),ISNUMBER('Fase de Grupos'!AE42)),IF('Fase de Grupos'!AE42='Fase de Grupos'!AC42,1,0),0)</f>
      </c>
      <c r="F34">
        <f>IF(AND(ISNUMBER('Fase de Grupos'!AC38),ISNUMBER('Fase de Grupos'!AE38)),IF('Fase de Grupos'!AC38&lt;'Fase de Grupos'!AE38,1,0),0)+IF(AND(ISNUMBER('Fase de Grupos'!AC41),ISNUMBER('Fase de Grupos'!AE41)),IF('Fase de Grupos'!AC41&lt;'Fase de Grupos'!AE41,1,0),0)+IF(AND(ISNUMBER('Fase de Grupos'!AC42),ISNUMBER('Fase de Grupos'!AE42)),IF('Fase de Grupos'!AE42&lt;'Fase de Grupos'!AC42,1,0),0)</f>
      </c>
      <c r="G34">
        <f>SUM('Fase de Grupos'!AC38,'Fase de Grupos'!AC41,'Fase de Grupos'!AE42)</f>
      </c>
      <c r="H34">
        <f>SUM('Fase de Grupos'!AE38,'Fase de Grupos'!AE41,'Fase de Grupos'!AC42)</f>
      </c>
      <c r="I34">
        <f>G34-H34</f>
      </c>
      <c r="J34">
        <f>D34*3+E34</f>
      </c>
      <c r="K34">
        <f>J34*100000+(I34+1000)*100+G34*10+3</f>
      </c>
    </row>
    <row r="35" spans="2:11" x14ac:dyDescent="0.25">
      <c r="B35" t="s">
        <v>108</v>
      </c>
      <c r="C35">
        <f>COUNT('Fase de Grupos'!AC43,'Fase de Grupos'!AE38,'Fase de Grupos'!AE40)</f>
      </c>
      <c r="D35">
        <f>IF(AND(ISNUMBER('Fase de Grupos'!AC43),ISNUMBER('Fase de Grupos'!AE43)),IF('Fase de Grupos'!AC43&gt;'Fase de Grupos'!AE43,1,0),0)+IF(AND(ISNUMBER('Fase de Grupos'!AC38),ISNUMBER('Fase de Grupos'!AE38)),IF('Fase de Grupos'!AE38&gt;'Fase de Grupos'!AC38,1,0),0)+IF(AND(ISNUMBER('Fase de Grupos'!AC40),ISNUMBER('Fase de Grupos'!AE40)),IF('Fase de Grupos'!AE40&gt;'Fase de Grupos'!AC40,1,0),0)</f>
      </c>
      <c r="E35">
        <f>IF(AND(ISNUMBER('Fase de Grupos'!AC43),ISNUMBER('Fase de Grupos'!AE43)),IF('Fase de Grupos'!AC43='Fase de Grupos'!AE43,1,0),0)+IF(AND(ISNUMBER('Fase de Grupos'!AC38),ISNUMBER('Fase de Grupos'!AE38)),IF('Fase de Grupos'!AE38='Fase de Grupos'!AC38,1,0),0)+IF(AND(ISNUMBER('Fase de Grupos'!AC40),ISNUMBER('Fase de Grupos'!AE40)),IF('Fase de Grupos'!AE40='Fase de Grupos'!AC40,1,0),0)</f>
      </c>
      <c r="F35">
        <f>IF(AND(ISNUMBER('Fase de Grupos'!AC43),ISNUMBER('Fase de Grupos'!AE43)),IF('Fase de Grupos'!AC43&lt;'Fase de Grupos'!AE43,1,0),0)+IF(AND(ISNUMBER('Fase de Grupos'!AC38),ISNUMBER('Fase de Grupos'!AE38)),IF('Fase de Grupos'!AE38&lt;'Fase de Grupos'!AC38,1,0),0)+IF(AND(ISNUMBER('Fase de Grupos'!AC40),ISNUMBER('Fase de Grupos'!AE40)),IF('Fase de Grupos'!AE40&lt;'Fase de Grupos'!AC40,1,0),0)</f>
      </c>
      <c r="G35">
        <f>SUM('Fase de Grupos'!AC43,'Fase de Grupos'!AE38,'Fase de Grupos'!AE40)</f>
      </c>
      <c r="H35">
        <f>SUM('Fase de Grupos'!AE43,'Fase de Grupos'!AC38,'Fase de Grupos'!AC40)</f>
      </c>
      <c r="I35">
        <f>G35-H35</f>
      </c>
      <c r="J35">
        <f>D35*3+E35</f>
      </c>
      <c r="K35">
        <f>J35*100000+(I35+1000)*100+G35*10+2</f>
      </c>
    </row>
    <row r="36" spans="2:11" x14ac:dyDescent="0.25">
      <c r="B36" t="s">
        <v>118</v>
      </c>
      <c r="C36">
        <f>COUNT('Fase de Grupos'!AC40,'Fase de Grupos'!AC42,'Fase de Grupos'!AE39)</f>
      </c>
      <c r="D36">
        <f>IF(AND(ISNUMBER('Fase de Grupos'!AC40),ISNUMBER('Fase de Grupos'!AE40)),IF('Fase de Grupos'!AC40&gt;'Fase de Grupos'!AE40,1,0),0)+IF(AND(ISNUMBER('Fase de Grupos'!AC42),ISNUMBER('Fase de Grupos'!AE42)),IF('Fase de Grupos'!AC42&gt;'Fase de Grupos'!AE42,1,0),0)+IF(AND(ISNUMBER('Fase de Grupos'!AC39),ISNUMBER('Fase de Grupos'!AE39)),IF('Fase de Grupos'!AE39&gt;'Fase de Grupos'!AC39,1,0),0)</f>
      </c>
      <c r="E36">
        <f>IF(AND(ISNUMBER('Fase de Grupos'!AC40),ISNUMBER('Fase de Grupos'!AE40)),IF('Fase de Grupos'!AC40='Fase de Grupos'!AE40,1,0),0)+IF(AND(ISNUMBER('Fase de Grupos'!AC42),ISNUMBER('Fase de Grupos'!AE42)),IF('Fase de Grupos'!AC42='Fase de Grupos'!AE42,1,0),0)+IF(AND(ISNUMBER('Fase de Grupos'!AC39),ISNUMBER('Fase de Grupos'!AE39)),IF('Fase de Grupos'!AE39='Fase de Grupos'!AC39,1,0),0)</f>
      </c>
      <c r="F36">
        <f>IF(AND(ISNUMBER('Fase de Grupos'!AC40),ISNUMBER('Fase de Grupos'!AE40)),IF('Fase de Grupos'!AC40&lt;'Fase de Grupos'!AE40,1,0),0)+IF(AND(ISNUMBER('Fase de Grupos'!AC42),ISNUMBER('Fase de Grupos'!AE42)),IF('Fase de Grupos'!AC42&lt;'Fase de Grupos'!AE42,1,0),0)+IF(AND(ISNUMBER('Fase de Grupos'!AC39),ISNUMBER('Fase de Grupos'!AE39)),IF('Fase de Grupos'!AE39&lt;'Fase de Grupos'!AC39,1,0),0)</f>
      </c>
      <c r="G36">
        <f>SUM('Fase de Grupos'!AC40,'Fase de Grupos'!AC42,'Fase de Grupos'!AE39)</f>
      </c>
      <c r="H36">
        <f>SUM('Fase de Grupos'!AE40,'Fase de Grupos'!AE42,'Fase de Grupos'!AC39)</f>
      </c>
      <c r="I36">
        <f>G36-H36</f>
      </c>
      <c r="J36">
        <f>D36*3+E36</f>
      </c>
      <c r="K36">
        <f>J36*100000+(I36+1000)*100+G36*10+1</f>
      </c>
    </row>
    <row r="37" spans="1:11" x14ac:dyDescent="0.25">
      <c r="A37" t="s">
        <v>177</v>
      </c>
      <c r="B37" t="s">
        <v>117</v>
      </c>
      <c r="C37">
        <f>COUNT('Fase de Grupos'!AC39,'Fase de Grupos'!AE41,'Fase de Grupos'!AE43)</f>
      </c>
      <c r="D37">
        <f>IF(AND(ISNUMBER('Fase de Grupos'!AC39),ISNUMBER('Fase de Grupos'!AE39)),IF('Fase de Grupos'!AC39&gt;'Fase de Grupos'!AE39,1,0),0)+IF(AND(ISNUMBER('Fase de Grupos'!AC41),ISNUMBER('Fase de Grupos'!AE41)),IF('Fase de Grupos'!AE41&gt;'Fase de Grupos'!AC41,1,0),0)+IF(AND(ISNUMBER('Fase de Grupos'!AC43),ISNUMBER('Fase de Grupos'!AE43)),IF('Fase de Grupos'!AE43&gt;'Fase de Grupos'!AC43,1,0),0)</f>
      </c>
      <c r="E37">
        <f>IF(AND(ISNUMBER('Fase de Grupos'!AC39),ISNUMBER('Fase de Grupos'!AE39)),IF('Fase de Grupos'!AC39='Fase de Grupos'!AE39,1,0),0)+IF(AND(ISNUMBER('Fase de Grupos'!AC41),ISNUMBER('Fase de Grupos'!AE41)),IF('Fase de Grupos'!AE41='Fase de Grupos'!AC41,1,0),0)+IF(AND(ISNUMBER('Fase de Grupos'!AC43),ISNUMBER('Fase de Grupos'!AE43)),IF('Fase de Grupos'!AE43='Fase de Grupos'!AC43,1,0),0)</f>
      </c>
      <c r="F37">
        <f>IF(AND(ISNUMBER('Fase de Grupos'!AC39),ISNUMBER('Fase de Grupos'!AE39)),IF('Fase de Grupos'!AC39&lt;'Fase de Grupos'!AE39,1,0),0)+IF(AND(ISNUMBER('Fase de Grupos'!AC41),ISNUMBER('Fase de Grupos'!AE41)),IF('Fase de Grupos'!AE41&lt;'Fase de Grupos'!AC41,1,0),0)+IF(AND(ISNUMBER('Fase de Grupos'!AC43),ISNUMBER('Fase de Grupos'!AE43)),IF('Fase de Grupos'!AE43&lt;'Fase de Grupos'!AC43,1,0),0)</f>
      </c>
      <c r="G37">
        <f>SUM('Fase de Grupos'!AC39,'Fase de Grupos'!AE41,'Fase de Grupos'!AE43)</f>
      </c>
      <c r="H37">
        <f>SUM('Fase de Grupos'!AE39,'Fase de Grupos'!AC41,'Fase de Grupos'!AC43)</f>
      </c>
      <c r="I37">
        <f>G37-H37</f>
      </c>
      <c r="J37">
        <f>D37*3+E37</f>
      </c>
      <c r="K37">
        <f>J37*100000+(I37+1000)*100+G37*10+0</f>
      </c>
    </row>
    <row r="38" spans="2:11" x14ac:dyDescent="0.25">
      <c r="B38" t="s">
        <v>138</v>
      </c>
      <c r="C38">
        <f>COUNT('Fase de Grupos'!G55,'Fase de Grupos'!G57,'Fase de Grupos'!I60)</f>
      </c>
      <c r="D38">
        <f>IF(AND(ISNUMBER('Fase de Grupos'!G55),ISNUMBER('Fase de Grupos'!I55)),IF('Fase de Grupos'!G55&gt;'Fase de Grupos'!I55,1,0),0)+IF(AND(ISNUMBER('Fase de Grupos'!G57),ISNUMBER('Fase de Grupos'!I57)),IF('Fase de Grupos'!G57&gt;'Fase de Grupos'!I57,1,0),0)+IF(AND(ISNUMBER('Fase de Grupos'!G60),ISNUMBER('Fase de Grupos'!I60)),IF('Fase de Grupos'!I60&gt;'Fase de Grupos'!G60,1,0),0)</f>
      </c>
      <c r="E38">
        <f>IF(AND(ISNUMBER('Fase de Grupos'!G55),ISNUMBER('Fase de Grupos'!I55)),IF('Fase de Grupos'!G55='Fase de Grupos'!I55,1,0),0)+IF(AND(ISNUMBER('Fase de Grupos'!G57),ISNUMBER('Fase de Grupos'!I57)),IF('Fase de Grupos'!G57='Fase de Grupos'!I57,1,0),0)+IF(AND(ISNUMBER('Fase de Grupos'!G60),ISNUMBER('Fase de Grupos'!I60)),IF('Fase de Grupos'!I60='Fase de Grupos'!G60,1,0),0)</f>
      </c>
      <c r="F38">
        <f>IF(AND(ISNUMBER('Fase de Grupos'!G55),ISNUMBER('Fase de Grupos'!I55)),IF('Fase de Grupos'!G55&lt;'Fase de Grupos'!I55,1,0),0)+IF(AND(ISNUMBER('Fase de Grupos'!G57),ISNUMBER('Fase de Grupos'!I57)),IF('Fase de Grupos'!G57&lt;'Fase de Grupos'!I57,1,0),0)+IF(AND(ISNUMBER('Fase de Grupos'!G60),ISNUMBER('Fase de Grupos'!I60)),IF('Fase de Grupos'!I60&lt;'Fase de Grupos'!G60,1,0),0)</f>
      </c>
      <c r="G38">
        <f>SUM('Fase de Grupos'!G55,'Fase de Grupos'!G57,'Fase de Grupos'!I60)</f>
      </c>
      <c r="H38">
        <f>SUM('Fase de Grupos'!I55,'Fase de Grupos'!I57,'Fase de Grupos'!G60)</f>
      </c>
      <c r="I38">
        <f>G38-H38</f>
      </c>
      <c r="J38">
        <f>D38*3+E38</f>
      </c>
      <c r="K38">
        <f>J38*100000+(I38+1000)*100+G38*10+3</f>
      </c>
    </row>
    <row r="39" spans="2:11" x14ac:dyDescent="0.25">
      <c r="B39" t="s">
        <v>147</v>
      </c>
      <c r="C39">
        <f>COUNT('Fase de Grupos'!G56,'Fase de Grupos'!I57,'Fase de Grupos'!I59)</f>
      </c>
      <c r="D39">
        <f>IF(AND(ISNUMBER('Fase de Grupos'!G56),ISNUMBER('Fase de Grupos'!I56)),IF('Fase de Grupos'!G56&gt;'Fase de Grupos'!I56,1,0),0)+IF(AND(ISNUMBER('Fase de Grupos'!G57),ISNUMBER('Fase de Grupos'!I57)),IF('Fase de Grupos'!I57&gt;'Fase de Grupos'!G57,1,0),0)+IF(AND(ISNUMBER('Fase de Grupos'!G59),ISNUMBER('Fase de Grupos'!I59)),IF('Fase de Grupos'!I59&gt;'Fase de Grupos'!G59,1,0),0)</f>
      </c>
      <c r="E39">
        <f>IF(AND(ISNUMBER('Fase de Grupos'!G56),ISNUMBER('Fase de Grupos'!I56)),IF('Fase de Grupos'!G56='Fase de Grupos'!I56,1,0),0)+IF(AND(ISNUMBER('Fase de Grupos'!G57),ISNUMBER('Fase de Grupos'!I57)),IF('Fase de Grupos'!I57='Fase de Grupos'!G57,1,0),0)+IF(AND(ISNUMBER('Fase de Grupos'!G59),ISNUMBER('Fase de Grupos'!I59)),IF('Fase de Grupos'!I59='Fase de Grupos'!G59,1,0),0)</f>
      </c>
      <c r="F39">
        <f>IF(AND(ISNUMBER('Fase de Grupos'!G56),ISNUMBER('Fase de Grupos'!I56)),IF('Fase de Grupos'!G56&lt;'Fase de Grupos'!I56,1,0),0)+IF(AND(ISNUMBER('Fase de Grupos'!G57),ISNUMBER('Fase de Grupos'!I57)),IF('Fase de Grupos'!I57&lt;'Fase de Grupos'!G57,1,0),0)+IF(AND(ISNUMBER('Fase de Grupos'!G59),ISNUMBER('Fase de Grupos'!I59)),IF('Fase de Grupos'!I59&lt;'Fase de Grupos'!G59,1,0),0)</f>
      </c>
      <c r="G39">
        <f>SUM('Fase de Grupos'!G56,'Fase de Grupos'!I57,'Fase de Grupos'!I59)</f>
      </c>
      <c r="H39">
        <f>SUM('Fase de Grupos'!I56,'Fase de Grupos'!G57,'Fase de Grupos'!G59)</f>
      </c>
      <c r="I39">
        <f>G39-H39</f>
      </c>
      <c r="J39">
        <f>D39*3+E39</f>
      </c>
      <c r="K39">
        <f>J39*100000+(I39+1000)*100+G39*10+2</f>
      </c>
    </row>
    <row r="40" spans="2:11" x14ac:dyDescent="0.25">
      <c r="B40" t="s">
        <v>139</v>
      </c>
      <c r="C40">
        <f>COUNT('Fase de Grupos'!G59,'Fase de Grupos'!I55,'Fase de Grupos'!I58)</f>
      </c>
      <c r="D40">
        <f>IF(AND(ISNUMBER('Fase de Grupos'!G59),ISNUMBER('Fase de Grupos'!I59)),IF('Fase de Grupos'!G59&gt;'Fase de Grupos'!I59,1,0),0)+IF(AND(ISNUMBER('Fase de Grupos'!G55),ISNUMBER('Fase de Grupos'!I55)),IF('Fase de Grupos'!I55&gt;'Fase de Grupos'!G55,1,0),0)+IF(AND(ISNUMBER('Fase de Grupos'!G58),ISNUMBER('Fase de Grupos'!I58)),IF('Fase de Grupos'!I58&gt;'Fase de Grupos'!G58,1,0),0)</f>
      </c>
      <c r="E40">
        <f>IF(AND(ISNUMBER('Fase de Grupos'!G59),ISNUMBER('Fase de Grupos'!I59)),IF('Fase de Grupos'!G59='Fase de Grupos'!I59,1,0),0)+IF(AND(ISNUMBER('Fase de Grupos'!G55),ISNUMBER('Fase de Grupos'!I55)),IF('Fase de Grupos'!I55='Fase de Grupos'!G55,1,0),0)+IF(AND(ISNUMBER('Fase de Grupos'!G58),ISNUMBER('Fase de Grupos'!I58)),IF('Fase de Grupos'!I58='Fase de Grupos'!G58,1,0),0)</f>
      </c>
      <c r="F40">
        <f>IF(AND(ISNUMBER('Fase de Grupos'!G59),ISNUMBER('Fase de Grupos'!I59)),IF('Fase de Grupos'!G59&lt;'Fase de Grupos'!I59,1,0),0)+IF(AND(ISNUMBER('Fase de Grupos'!G55),ISNUMBER('Fase de Grupos'!I55)),IF('Fase de Grupos'!I55&lt;'Fase de Grupos'!G55,1,0),0)+IF(AND(ISNUMBER('Fase de Grupos'!G58),ISNUMBER('Fase de Grupos'!I58)),IF('Fase de Grupos'!I58&lt;'Fase de Grupos'!G58,1,0),0)</f>
      </c>
      <c r="G40">
        <f>SUM('Fase de Grupos'!G59,'Fase de Grupos'!I55,'Fase de Grupos'!I58)</f>
      </c>
      <c r="H40">
        <f>SUM('Fase de Grupos'!I59,'Fase de Grupos'!G55,'Fase de Grupos'!G58)</f>
      </c>
      <c r="I40">
        <f>G40-H40</f>
      </c>
      <c r="J40">
        <f>D40*3+E40</f>
      </c>
      <c r="K40">
        <f>J40*100000+(I40+1000)*100+G40*10+1</f>
      </c>
    </row>
    <row r="41" spans="1:11" x14ac:dyDescent="0.25">
      <c r="A41" t="s">
        <v>178</v>
      </c>
      <c r="B41" t="s">
        <v>148</v>
      </c>
      <c r="C41">
        <f>COUNT('Fase de Grupos'!G58,'Fase de Grupos'!G60,'Fase de Grupos'!I56)</f>
      </c>
      <c r="D41">
        <f>IF(AND(ISNUMBER('Fase de Grupos'!G58),ISNUMBER('Fase de Grupos'!I58)),IF('Fase de Grupos'!G58&gt;'Fase de Grupos'!I58,1,0),0)+IF(AND(ISNUMBER('Fase de Grupos'!G60),ISNUMBER('Fase de Grupos'!I60)),IF('Fase de Grupos'!G60&gt;'Fase de Grupos'!I60,1,0),0)+IF(AND(ISNUMBER('Fase de Grupos'!G56),ISNUMBER('Fase de Grupos'!I56)),IF('Fase de Grupos'!I56&gt;'Fase de Grupos'!G56,1,0),0)</f>
      </c>
      <c r="E41">
        <f>IF(AND(ISNUMBER('Fase de Grupos'!G58),ISNUMBER('Fase de Grupos'!I58)),IF('Fase de Grupos'!G58='Fase de Grupos'!I58,1,0),0)+IF(AND(ISNUMBER('Fase de Grupos'!G60),ISNUMBER('Fase de Grupos'!I60)),IF('Fase de Grupos'!G60='Fase de Grupos'!I60,1,0),0)+IF(AND(ISNUMBER('Fase de Grupos'!G56),ISNUMBER('Fase de Grupos'!I56)),IF('Fase de Grupos'!I56='Fase de Grupos'!G56,1,0),0)</f>
      </c>
      <c r="F41">
        <f>IF(AND(ISNUMBER('Fase de Grupos'!G58),ISNUMBER('Fase de Grupos'!I58)),IF('Fase de Grupos'!G58&lt;'Fase de Grupos'!I58,1,0),0)+IF(AND(ISNUMBER('Fase de Grupos'!G60),ISNUMBER('Fase de Grupos'!I60)),IF('Fase de Grupos'!G60&lt;'Fase de Grupos'!I60,1,0),0)+IF(AND(ISNUMBER('Fase de Grupos'!G56),ISNUMBER('Fase de Grupos'!I56)),IF('Fase de Grupos'!I56&lt;'Fase de Grupos'!G56,1,0),0)</f>
      </c>
      <c r="G41">
        <f>SUM('Fase de Grupos'!G58,'Fase de Grupos'!G60,'Fase de Grupos'!I56)</f>
      </c>
      <c r="H41">
        <f>SUM('Fase de Grupos'!I58,'Fase de Grupos'!I60,'Fase de Grupos'!G56)</f>
      </c>
      <c r="I41">
        <f>G41-H41</f>
      </c>
      <c r="J41">
        <f>D41*3+E41</f>
      </c>
      <c r="K41">
        <f>J41*100000+(I41+1000)*100+G41*10+0</f>
      </c>
    </row>
    <row r="42" spans="2:11" x14ac:dyDescent="0.25">
      <c r="B42" t="s">
        <v>141</v>
      </c>
      <c r="C42">
        <f>COUNT('Fase de Grupos'!R55,'Fase de Grupos'!R57,'Fase de Grupos'!T59)</f>
      </c>
      <c r="D42">
        <f>IF(AND(ISNUMBER('Fase de Grupos'!R55),ISNUMBER('Fase de Grupos'!T55)),IF('Fase de Grupos'!R55&gt;'Fase de Grupos'!T55,1,0),0)+IF(AND(ISNUMBER('Fase de Grupos'!R57),ISNUMBER('Fase de Grupos'!T57)),IF('Fase de Grupos'!R57&gt;'Fase de Grupos'!T57,1,0),0)+IF(AND(ISNUMBER('Fase de Grupos'!R59),ISNUMBER('Fase de Grupos'!T59)),IF('Fase de Grupos'!T59&gt;'Fase de Grupos'!R59,1,0),0)</f>
      </c>
      <c r="E42">
        <f>IF(AND(ISNUMBER('Fase de Grupos'!R55),ISNUMBER('Fase de Grupos'!T55)),IF('Fase de Grupos'!R55='Fase de Grupos'!T55,1,0),0)+IF(AND(ISNUMBER('Fase de Grupos'!R57),ISNUMBER('Fase de Grupos'!T57)),IF('Fase de Grupos'!R57='Fase de Grupos'!T57,1,0),0)+IF(AND(ISNUMBER('Fase de Grupos'!R59),ISNUMBER('Fase de Grupos'!T59)),IF('Fase de Grupos'!T59='Fase de Grupos'!R59,1,0),0)</f>
      </c>
      <c r="F42">
        <f>IF(AND(ISNUMBER('Fase de Grupos'!R55),ISNUMBER('Fase de Grupos'!T55)),IF('Fase de Grupos'!R55&lt;'Fase de Grupos'!T55,1,0),0)+IF(AND(ISNUMBER('Fase de Grupos'!R57),ISNUMBER('Fase de Grupos'!T57)),IF('Fase de Grupos'!R57&lt;'Fase de Grupos'!T57,1,0),0)+IF(AND(ISNUMBER('Fase de Grupos'!R59),ISNUMBER('Fase de Grupos'!T59)),IF('Fase de Grupos'!T59&lt;'Fase de Grupos'!R59,1,0),0)</f>
      </c>
      <c r="G42">
        <f>SUM('Fase de Grupos'!R55,'Fase de Grupos'!R57,'Fase de Grupos'!T59)</f>
      </c>
      <c r="H42">
        <f>SUM('Fase de Grupos'!T55,'Fase de Grupos'!T57,'Fase de Grupos'!R59)</f>
      </c>
      <c r="I42">
        <f>G42-H42</f>
      </c>
      <c r="J42">
        <f>D42*3+E42</f>
      </c>
      <c r="K42">
        <f>J42*100000+(I42+1000)*100+G42*10+3</f>
      </c>
    </row>
    <row r="43" spans="2:11" x14ac:dyDescent="0.25">
      <c r="B43" t="s">
        <v>151</v>
      </c>
      <c r="C43">
        <f>COUNT('Fase de Grupos'!R58,'Fase de Grupos'!R59,'Fase de Grupos'!T56)</f>
      </c>
      <c r="D43">
        <f>IF(AND(ISNUMBER('Fase de Grupos'!R58),ISNUMBER('Fase de Grupos'!T58)),IF('Fase de Grupos'!R58&gt;'Fase de Grupos'!T58,1,0),0)+IF(AND(ISNUMBER('Fase de Grupos'!R59),ISNUMBER('Fase de Grupos'!T59)),IF('Fase de Grupos'!R59&gt;'Fase de Grupos'!T59,1,0),0)+IF(AND(ISNUMBER('Fase de Grupos'!R56),ISNUMBER('Fase de Grupos'!T56)),IF('Fase de Grupos'!T56&gt;'Fase de Grupos'!R56,1,0),0)</f>
      </c>
      <c r="E43">
        <f>IF(AND(ISNUMBER('Fase de Grupos'!R58),ISNUMBER('Fase de Grupos'!T58)),IF('Fase de Grupos'!R58='Fase de Grupos'!T58,1,0),0)+IF(AND(ISNUMBER('Fase de Grupos'!R59),ISNUMBER('Fase de Grupos'!T59)),IF('Fase de Grupos'!R59='Fase de Grupos'!T59,1,0),0)+IF(AND(ISNUMBER('Fase de Grupos'!R56),ISNUMBER('Fase de Grupos'!T56)),IF('Fase de Grupos'!T56='Fase de Grupos'!R56,1,0),0)</f>
      </c>
      <c r="F43">
        <f>IF(AND(ISNUMBER('Fase de Grupos'!R58),ISNUMBER('Fase de Grupos'!T58)),IF('Fase de Grupos'!R58&lt;'Fase de Grupos'!T58,1,0),0)+IF(AND(ISNUMBER('Fase de Grupos'!R59),ISNUMBER('Fase de Grupos'!T59)),IF('Fase de Grupos'!R59&lt;'Fase de Grupos'!T59,1,0),0)+IF(AND(ISNUMBER('Fase de Grupos'!R56),ISNUMBER('Fase de Grupos'!T56)),IF('Fase de Grupos'!T56&lt;'Fase de Grupos'!R56,1,0),0)</f>
      </c>
      <c r="G43">
        <f>SUM('Fase de Grupos'!R58,'Fase de Grupos'!R59,'Fase de Grupos'!T56)</f>
      </c>
      <c r="H43">
        <f>SUM('Fase de Grupos'!T58,'Fase de Grupos'!T59,'Fase de Grupos'!R56)</f>
      </c>
      <c r="I43">
        <f>G43-H43</f>
      </c>
      <c r="J43">
        <f>D43*3+E43</f>
      </c>
      <c r="K43">
        <f>J43*100000+(I43+1000)*100+G43*10+2</f>
      </c>
    </row>
    <row r="44" spans="2:11" x14ac:dyDescent="0.25">
      <c r="B44" t="s">
        <v>150</v>
      </c>
      <c r="C44">
        <f>COUNT('Fase de Grupos'!R56,'Fase de Grupos'!T57,'Fase de Grupos'!T60)</f>
      </c>
      <c r="D44">
        <f>IF(AND(ISNUMBER('Fase de Grupos'!R56),ISNUMBER('Fase de Grupos'!T56)),IF('Fase de Grupos'!R56&gt;'Fase de Grupos'!T56,1,0),0)+IF(AND(ISNUMBER('Fase de Grupos'!R57),ISNUMBER('Fase de Grupos'!T57)),IF('Fase de Grupos'!T57&gt;'Fase de Grupos'!R57,1,0),0)+IF(AND(ISNUMBER('Fase de Grupos'!R60),ISNUMBER('Fase de Grupos'!T60)),IF('Fase de Grupos'!T60&gt;'Fase de Grupos'!R60,1,0),0)</f>
      </c>
      <c r="E44">
        <f>IF(AND(ISNUMBER('Fase de Grupos'!R56),ISNUMBER('Fase de Grupos'!T56)),IF('Fase de Grupos'!R56='Fase de Grupos'!T56,1,0),0)+IF(AND(ISNUMBER('Fase de Grupos'!R57),ISNUMBER('Fase de Grupos'!T57)),IF('Fase de Grupos'!T57='Fase de Grupos'!R57,1,0),0)+IF(AND(ISNUMBER('Fase de Grupos'!R60),ISNUMBER('Fase de Grupos'!T60)),IF('Fase de Grupos'!T60='Fase de Grupos'!R60,1,0),0)</f>
      </c>
      <c r="F44">
        <f>IF(AND(ISNUMBER('Fase de Grupos'!R56),ISNUMBER('Fase de Grupos'!T56)),IF('Fase de Grupos'!R56&lt;'Fase de Grupos'!T56,1,0),0)+IF(AND(ISNUMBER('Fase de Grupos'!R57),ISNUMBER('Fase de Grupos'!T57)),IF('Fase de Grupos'!T57&lt;'Fase de Grupos'!R57,1,0),0)+IF(AND(ISNUMBER('Fase de Grupos'!R60),ISNUMBER('Fase de Grupos'!T60)),IF('Fase de Grupos'!T60&lt;'Fase de Grupos'!R60,1,0),0)</f>
      </c>
      <c r="G44">
        <f>SUM('Fase de Grupos'!R56,'Fase de Grupos'!T57,'Fase de Grupos'!T60)</f>
      </c>
      <c r="H44">
        <f>SUM('Fase de Grupos'!T56,'Fase de Grupos'!R57,'Fase de Grupos'!R60)</f>
      </c>
      <c r="I44">
        <f>G44-H44</f>
      </c>
      <c r="J44">
        <f>D44*3+E44</f>
      </c>
      <c r="K44">
        <f>J44*100000+(I44+1000)*100+G44*10+1</f>
      </c>
    </row>
    <row r="45" spans="1:11" x14ac:dyDescent="0.25">
      <c r="A45" t="s">
        <v>179</v>
      </c>
      <c r="B45" t="s">
        <v>142</v>
      </c>
      <c r="C45">
        <f>COUNT('Fase de Grupos'!R60,'Fase de Grupos'!T55,'Fase de Grupos'!T58)</f>
      </c>
      <c r="D45">
        <f>IF(AND(ISNUMBER('Fase de Grupos'!R60),ISNUMBER('Fase de Grupos'!T60)),IF('Fase de Grupos'!R60&gt;'Fase de Grupos'!T60,1,0),0)+IF(AND(ISNUMBER('Fase de Grupos'!R55),ISNUMBER('Fase de Grupos'!T55)),IF('Fase de Grupos'!T55&gt;'Fase de Grupos'!R55,1,0),0)+IF(AND(ISNUMBER('Fase de Grupos'!R58),ISNUMBER('Fase de Grupos'!T58)),IF('Fase de Grupos'!T58&gt;'Fase de Grupos'!R58,1,0),0)</f>
      </c>
      <c r="E45">
        <f>IF(AND(ISNUMBER('Fase de Grupos'!R60),ISNUMBER('Fase de Grupos'!T60)),IF('Fase de Grupos'!R60='Fase de Grupos'!T60,1,0),0)+IF(AND(ISNUMBER('Fase de Grupos'!R55),ISNUMBER('Fase de Grupos'!T55)),IF('Fase de Grupos'!T55='Fase de Grupos'!R55,1,0),0)+IF(AND(ISNUMBER('Fase de Grupos'!R58),ISNUMBER('Fase de Grupos'!T58)),IF('Fase de Grupos'!T58='Fase de Grupos'!R58,1,0),0)</f>
      </c>
      <c r="F45">
        <f>IF(AND(ISNUMBER('Fase de Grupos'!R60),ISNUMBER('Fase de Grupos'!T60)),IF('Fase de Grupos'!R60&lt;'Fase de Grupos'!T60,1,0),0)+IF(AND(ISNUMBER('Fase de Grupos'!R55),ISNUMBER('Fase de Grupos'!T55)),IF('Fase de Grupos'!T55&lt;'Fase de Grupos'!R55,1,0),0)+IF(AND(ISNUMBER('Fase de Grupos'!R58),ISNUMBER('Fase de Grupos'!T58)),IF('Fase de Grupos'!T58&lt;'Fase de Grupos'!R58,1,0),0)</f>
      </c>
      <c r="G45">
        <f>SUM('Fase de Grupos'!R60,'Fase de Grupos'!T55,'Fase de Grupos'!T58)</f>
      </c>
      <c r="H45">
        <f>SUM('Fase de Grupos'!T60,'Fase de Grupos'!R55,'Fase de Grupos'!R58)</f>
      </c>
      <c r="I45">
        <f>G45-H45</f>
      </c>
      <c r="J45">
        <f>D45*3+E45</f>
      </c>
      <c r="K45">
        <f>J45*100000+(I45+1000)*100+G45*10+0</f>
      </c>
    </row>
    <row r="46" spans="2:11" x14ac:dyDescent="0.25">
      <c r="B46" t="s">
        <v>153</v>
      </c>
      <c r="C46">
        <f>COUNT('Fase de Grupos'!AC56,'Fase de Grupos'!AC57,'Fase de Grupos'!AE59)</f>
      </c>
      <c r="D46">
        <f>IF(AND(ISNUMBER('Fase de Grupos'!AC56),ISNUMBER('Fase de Grupos'!AE56)),IF('Fase de Grupos'!AC56&gt;'Fase de Grupos'!AE56,1,0),0)+IF(AND(ISNUMBER('Fase de Grupos'!AC57),ISNUMBER('Fase de Grupos'!AE57)),IF('Fase de Grupos'!AC57&gt;'Fase de Grupos'!AE57,1,0),0)+IF(AND(ISNUMBER('Fase de Grupos'!AC59),ISNUMBER('Fase de Grupos'!AE59)),IF('Fase de Grupos'!AE59&gt;'Fase de Grupos'!AC59,1,0),0)</f>
      </c>
      <c r="E46">
        <f>IF(AND(ISNUMBER('Fase de Grupos'!AC56),ISNUMBER('Fase de Grupos'!AE56)),IF('Fase de Grupos'!AC56='Fase de Grupos'!AE56,1,0),0)+IF(AND(ISNUMBER('Fase de Grupos'!AC57),ISNUMBER('Fase de Grupos'!AE57)),IF('Fase de Grupos'!AC57='Fase de Grupos'!AE57,1,0),0)+IF(AND(ISNUMBER('Fase de Grupos'!AC59),ISNUMBER('Fase de Grupos'!AE59)),IF('Fase de Grupos'!AE59='Fase de Grupos'!AC59,1,0),0)</f>
      </c>
      <c r="F46">
        <f>IF(AND(ISNUMBER('Fase de Grupos'!AC56),ISNUMBER('Fase de Grupos'!AE56)),IF('Fase de Grupos'!AC56&lt;'Fase de Grupos'!AE56,1,0),0)+IF(AND(ISNUMBER('Fase de Grupos'!AC57),ISNUMBER('Fase de Grupos'!AE57)),IF('Fase de Grupos'!AC57&lt;'Fase de Grupos'!AE57,1,0),0)+IF(AND(ISNUMBER('Fase de Grupos'!AC59),ISNUMBER('Fase de Grupos'!AE59)),IF('Fase de Grupos'!AE59&lt;'Fase de Grupos'!AC59,1,0),0)</f>
      </c>
      <c r="G46">
        <f>SUM('Fase de Grupos'!AC56,'Fase de Grupos'!AC57,'Fase de Grupos'!AE59)</f>
      </c>
      <c r="H46">
        <f>SUM('Fase de Grupos'!AE56,'Fase de Grupos'!AE57,'Fase de Grupos'!AC59)</f>
      </c>
      <c r="I46">
        <f>G46-H46</f>
      </c>
      <c r="J46">
        <f>D46*3+E46</f>
      </c>
      <c r="K46">
        <f>J46*100000+(I46+1000)*100+G46*10+3</f>
      </c>
    </row>
    <row r="47" spans="2:11" x14ac:dyDescent="0.25">
      <c r="B47" t="s">
        <v>154</v>
      </c>
      <c r="C47">
        <f>COUNT('Fase de Grupos'!AC60,'Fase de Grupos'!AE56,'Fase de Grupos'!AE58)</f>
      </c>
      <c r="D47">
        <f>IF(AND(ISNUMBER('Fase de Grupos'!AC60),ISNUMBER('Fase de Grupos'!AE60)),IF('Fase de Grupos'!AC60&gt;'Fase de Grupos'!AE60,1,0),0)+IF(AND(ISNUMBER('Fase de Grupos'!AC56),ISNUMBER('Fase de Grupos'!AE56)),IF('Fase de Grupos'!AE56&gt;'Fase de Grupos'!AC56,1,0),0)+IF(AND(ISNUMBER('Fase de Grupos'!AC58),ISNUMBER('Fase de Grupos'!AE58)),IF('Fase de Grupos'!AE58&gt;'Fase de Grupos'!AC58,1,0),0)</f>
      </c>
      <c r="E47">
        <f>IF(AND(ISNUMBER('Fase de Grupos'!AC60),ISNUMBER('Fase de Grupos'!AE60)),IF('Fase de Grupos'!AC60='Fase de Grupos'!AE60,1,0),0)+IF(AND(ISNUMBER('Fase de Grupos'!AC56),ISNUMBER('Fase de Grupos'!AE56)),IF('Fase de Grupos'!AE56='Fase de Grupos'!AC56,1,0),0)+IF(AND(ISNUMBER('Fase de Grupos'!AC58),ISNUMBER('Fase de Grupos'!AE58)),IF('Fase de Grupos'!AE58='Fase de Grupos'!AC58,1,0),0)</f>
      </c>
      <c r="F47">
        <f>IF(AND(ISNUMBER('Fase de Grupos'!AC60),ISNUMBER('Fase de Grupos'!AE60)),IF('Fase de Grupos'!AC60&lt;'Fase de Grupos'!AE60,1,0),0)+IF(AND(ISNUMBER('Fase de Grupos'!AC56),ISNUMBER('Fase de Grupos'!AE56)),IF('Fase de Grupos'!AE56&lt;'Fase de Grupos'!AC56,1,0),0)+IF(AND(ISNUMBER('Fase de Grupos'!AC58),ISNUMBER('Fase de Grupos'!AE58)),IF('Fase de Grupos'!AE58&lt;'Fase de Grupos'!AC58,1,0),0)</f>
      </c>
      <c r="G47">
        <f>SUM('Fase de Grupos'!AC60,'Fase de Grupos'!AE56,'Fase de Grupos'!AE58)</f>
      </c>
      <c r="H47">
        <f>SUM('Fase de Grupos'!AE60,'Fase de Grupos'!AC56,'Fase de Grupos'!AC58)</f>
      </c>
      <c r="I47">
        <f>G47-H47</f>
      </c>
      <c r="J47">
        <f>D47*3+E47</f>
      </c>
      <c r="K47">
        <f>J47*100000+(I47+1000)*100+G47*10+2</f>
      </c>
    </row>
    <row r="48" spans="2:11" x14ac:dyDescent="0.25">
      <c r="B48" t="s">
        <v>144</v>
      </c>
      <c r="C48">
        <f>COUNT('Fase de Grupos'!AC55,'Fase de Grupos'!AE57,'Fase de Grupos'!AE60)</f>
      </c>
      <c r="D48">
        <f>IF(AND(ISNUMBER('Fase de Grupos'!AC55),ISNUMBER('Fase de Grupos'!AE55)),IF('Fase de Grupos'!AC55&gt;'Fase de Grupos'!AE55,1,0),0)+IF(AND(ISNUMBER('Fase de Grupos'!AC57),ISNUMBER('Fase de Grupos'!AE57)),IF('Fase de Grupos'!AE57&gt;'Fase de Grupos'!AC57,1,0),0)+IF(AND(ISNUMBER('Fase de Grupos'!AC60),ISNUMBER('Fase de Grupos'!AE60)),IF('Fase de Grupos'!AE60&gt;'Fase de Grupos'!AC60,1,0),0)</f>
      </c>
      <c r="E48">
        <f>IF(AND(ISNUMBER('Fase de Grupos'!AC55),ISNUMBER('Fase de Grupos'!AE55)),IF('Fase de Grupos'!AC55='Fase de Grupos'!AE55,1,0),0)+IF(AND(ISNUMBER('Fase de Grupos'!AC57),ISNUMBER('Fase de Grupos'!AE57)),IF('Fase de Grupos'!AE57='Fase de Grupos'!AC57,1,0),0)+IF(AND(ISNUMBER('Fase de Grupos'!AC60),ISNUMBER('Fase de Grupos'!AE60)),IF('Fase de Grupos'!AE60='Fase de Grupos'!AC60,1,0),0)</f>
      </c>
      <c r="F48">
        <f>IF(AND(ISNUMBER('Fase de Grupos'!AC55),ISNUMBER('Fase de Grupos'!AE55)),IF('Fase de Grupos'!AC55&lt;'Fase de Grupos'!AE55,1,0),0)+IF(AND(ISNUMBER('Fase de Grupos'!AC57),ISNUMBER('Fase de Grupos'!AE57)),IF('Fase de Grupos'!AE57&lt;'Fase de Grupos'!AC57,1,0),0)+IF(AND(ISNUMBER('Fase de Grupos'!AC60),ISNUMBER('Fase de Grupos'!AE60)),IF('Fase de Grupos'!AE60&lt;'Fase de Grupos'!AC60,1,0),0)</f>
      </c>
      <c r="G48">
        <f>SUM('Fase de Grupos'!AC55,'Fase de Grupos'!AE57,'Fase de Grupos'!AE60)</f>
      </c>
      <c r="H48">
        <f>SUM('Fase de Grupos'!AE55,'Fase de Grupos'!AC57,'Fase de Grupos'!AC60)</f>
      </c>
      <c r="I48">
        <f>G48-H48</f>
      </c>
      <c r="J48">
        <f>D48*3+E48</f>
      </c>
      <c r="K48">
        <f>J48*100000+(I48+1000)*100+G48*10+1</f>
      </c>
    </row>
    <row r="49" spans="2:11" x14ac:dyDescent="0.25">
      <c r="B49" t="s">
        <v>145</v>
      </c>
      <c r="C49">
        <f>COUNT('Fase de Grupos'!AC58,'Fase de Grupos'!AC59,'Fase de Grupos'!AE55)</f>
      </c>
      <c r="D49">
        <f>IF(AND(ISNUMBER('Fase de Grupos'!AC58),ISNUMBER('Fase de Grupos'!AE58)),IF('Fase de Grupos'!AC58&gt;'Fase de Grupos'!AE58,1,0),0)+IF(AND(ISNUMBER('Fase de Grupos'!AC59),ISNUMBER('Fase de Grupos'!AE59)),IF('Fase de Grupos'!AC59&gt;'Fase de Grupos'!AE59,1,0),0)+IF(AND(ISNUMBER('Fase de Grupos'!AC55),ISNUMBER('Fase de Grupos'!AE55)),IF('Fase de Grupos'!AE55&gt;'Fase de Grupos'!AC55,1,0),0)</f>
      </c>
      <c r="E49">
        <f>IF(AND(ISNUMBER('Fase de Grupos'!AC58),ISNUMBER('Fase de Grupos'!AE58)),IF('Fase de Grupos'!AC58='Fase de Grupos'!AE58,1,0),0)+IF(AND(ISNUMBER('Fase de Grupos'!AC59),ISNUMBER('Fase de Grupos'!AE59)),IF('Fase de Grupos'!AC59='Fase de Grupos'!AE59,1,0),0)+IF(AND(ISNUMBER('Fase de Grupos'!AC55),ISNUMBER('Fase de Grupos'!AE55)),IF('Fase de Grupos'!AE55='Fase de Grupos'!AC55,1,0),0)</f>
      </c>
      <c r="F49">
        <f>IF(AND(ISNUMBER('Fase de Grupos'!AC58),ISNUMBER('Fase de Grupos'!AE58)),IF('Fase de Grupos'!AC58&lt;'Fase de Grupos'!AE58,1,0),0)+IF(AND(ISNUMBER('Fase de Grupos'!AC59),ISNUMBER('Fase de Grupos'!AE59)),IF('Fase de Grupos'!AC59&lt;'Fase de Grupos'!AE59,1,0),0)+IF(AND(ISNUMBER('Fase de Grupos'!AC55),ISNUMBER('Fase de Grupos'!AE55)),IF('Fase de Grupos'!AE55&lt;'Fase de Grupos'!AC55,1,0),0)</f>
      </c>
      <c r="G49">
        <f>SUM('Fase de Grupos'!AC58,'Fase de Grupos'!AC59,'Fase de Grupos'!AE55)</f>
      </c>
      <c r="H49">
        <f>SUM('Fase de Grupos'!AE58,'Fase de Grupos'!AE59,'Fase de Grupos'!AC55)</f>
      </c>
      <c r="I49">
        <f>G49-H49</f>
      </c>
      <c r="J49">
        <f>D49*3+E49</f>
      </c>
      <c r="K49">
        <f>J49*100000+(I49+1000)*100+G49*10+0</f>
      </c>
    </row>
  </sheetData>
  <sheetProtection sheet="1" selectUnlockedCell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6"/>
  <sheetViews>
    <sheetView workbookViewId="0" showGridLines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2" customWidth="1"/>
    <col min="2" max="2" width="7" customWidth="1"/>
    <col min="3" max="3" width="10" customWidth="1"/>
    <col min="4" max="4" width="12" customWidth="1"/>
    <col min="5" max="5" width="18" customWidth="1"/>
    <col min="6" max="6" width="5" customWidth="1"/>
    <col min="7" max="7" width="6" customWidth="1"/>
    <col min="8" max="8" width="3" customWidth="1"/>
    <col min="9" max="9" width="6" customWidth="1"/>
    <col min="10" max="10" width="5" customWidth="1"/>
    <col min="11" max="11" width="18" customWidth="1"/>
    <col min="12" max="12" width="8" customWidth="1"/>
  </cols>
  <sheetData>
    <row r="1" spans="2:12" x14ac:dyDescent="0.25">
      <c r="B1" s="42" t="s">
        <v>180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3" spans="2:12" x14ac:dyDescent="0.25">
      <c r="B3" s="43" t="s">
        <v>181</v>
      </c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2:12" x14ac:dyDescent="0.25">
      <c r="B4" s="44" t="s">
        <v>3</v>
      </c>
      <c r="C4" s="44" t="s">
        <v>5</v>
      </c>
      <c r="D4" s="44" t="s">
        <v>182</v>
      </c>
      <c r="E4" s="44" t="s">
        <v>6</v>
      </c>
      <c r="F4" s="44" t="s">
        <v>7</v>
      </c>
      <c r="G4" s="44" t="s">
        <v>8</v>
      </c>
      <c r="H4" s="44" t="s">
        <v>9</v>
      </c>
      <c r="I4" s="44" t="s">
        <v>10</v>
      </c>
      <c r="J4" s="44" t="s">
        <v>7</v>
      </c>
      <c r="K4" s="44" t="s">
        <v>11</v>
      </c>
      <c r="L4" s="44" t="s">
        <v>183</v>
      </c>
    </row>
    <row r="5" spans="2:12" x14ac:dyDescent="0.25">
      <c r="B5" s="45" t="s">
        <v>184</v>
      </c>
      <c r="C5" s="17" t="s">
        <v>185</v>
      </c>
      <c r="D5" s="17" t="s">
        <v>186</v>
      </c>
      <c r="E5" s="18">
        <f>INDEX(CALC!$B$18:$B$21,MATCH(LARGE(CALC!$K$18:$K$21,1),CALC!$K$18:$K$21,0))</f>
      </c>
      <c r="F5" s="19"/>
      <c r="G5" s="13"/>
      <c r="H5" s="19" t="s">
        <v>15</v>
      </c>
      <c r="I5" s="13"/>
      <c r="J5" s="19"/>
      <c r="K5" s="46" t="s">
        <v>30</v>
      </c>
      <c r="L5" s="13"/>
    </row>
    <row r="6" spans="2:12" x14ac:dyDescent="0.25">
      <c r="B6" s="47" t="s">
        <v>187</v>
      </c>
      <c r="C6" s="10" t="s">
        <v>188</v>
      </c>
      <c r="D6" s="10" t="s">
        <v>189</v>
      </c>
      <c r="E6" s="11">
        <f>INDEX(CALC!$B$34:$B$37,MATCH(LARGE(CALC!$K$34:$K$37,1),CALC!$K$34:$K$37,0))</f>
      </c>
      <c r="F6" s="12"/>
      <c r="G6" s="13"/>
      <c r="H6" s="12" t="s">
        <v>15</v>
      </c>
      <c r="I6" s="13"/>
      <c r="J6" s="12"/>
      <c r="K6" s="48" t="s">
        <v>24</v>
      </c>
      <c r="L6" s="13"/>
    </row>
    <row r="7" spans="2:12" x14ac:dyDescent="0.25">
      <c r="B7" s="45" t="s">
        <v>190</v>
      </c>
      <c r="C7" s="17" t="s">
        <v>162</v>
      </c>
      <c r="D7" s="17" t="s">
        <v>191</v>
      </c>
      <c r="E7" s="18">
        <f>INDEX(CALC!$B$2:$B$5,MATCH(LARGE(CALC!$K$2:$K$5,2),CALC!$K$2:$K$5,0))</f>
      </c>
      <c r="F7" s="19"/>
      <c r="G7" s="13"/>
      <c r="H7" s="19" t="s">
        <v>15</v>
      </c>
      <c r="I7" s="13"/>
      <c r="J7" s="19"/>
      <c r="K7" s="46">
        <f>INDEX(CALC!$B$6:$B$9,MATCH(LARGE(CALC!$K$6:$K$9,2),CALC!$K$6:$K$9,0))</f>
      </c>
      <c r="L7" s="13"/>
    </row>
    <row r="8" spans="2:12" x14ac:dyDescent="0.25">
      <c r="B8" s="47" t="s">
        <v>192</v>
      </c>
      <c r="C8" s="10" t="s">
        <v>185</v>
      </c>
      <c r="D8" s="10" t="s">
        <v>193</v>
      </c>
      <c r="E8" s="11">
        <f>INDEX(CALC!$B$22:$B$25,MATCH(LARGE(CALC!$K$22:$K$25,1),CALC!$K$22:$K$25,0))</f>
      </c>
      <c r="F8" s="12"/>
      <c r="G8" s="13"/>
      <c r="H8" s="12" t="s">
        <v>15</v>
      </c>
      <c r="I8" s="13"/>
      <c r="J8" s="12"/>
      <c r="K8" s="48">
        <f>INDEX(CALC!$B$10:$B$13,MATCH(LARGE(CALC!$K$10:$K$13,2),CALC!$K$10:$K$13,0))</f>
      </c>
      <c r="L8" s="13"/>
    </row>
    <row r="9" spans="2:12" x14ac:dyDescent="0.25">
      <c r="B9" s="45" t="s">
        <v>194</v>
      </c>
      <c r="C9" s="17" t="s">
        <v>195</v>
      </c>
      <c r="D9" s="17" t="s">
        <v>196</v>
      </c>
      <c r="E9" s="18">
        <f>INDEX(CALC!$B$42:$B$45,MATCH(LARGE(CALC!$K$42:$K$45,2),CALC!$K$42:$K$45,0))</f>
      </c>
      <c r="F9" s="19"/>
      <c r="G9" s="13"/>
      <c r="H9" s="19" t="s">
        <v>15</v>
      </c>
      <c r="I9" s="13"/>
      <c r="J9" s="19"/>
      <c r="K9" s="46">
        <f>INDEX(CALC!$B$46:$B$49,MATCH(LARGE(CALC!$K$46:$K$49,2),CALC!$K$46:$K$49,0))</f>
      </c>
      <c r="L9" s="13"/>
    </row>
    <row r="10" spans="2:12" x14ac:dyDescent="0.25">
      <c r="B10" s="47" t="s">
        <v>197</v>
      </c>
      <c r="C10" s="10" t="s">
        <v>195</v>
      </c>
      <c r="D10" s="10" t="s">
        <v>191</v>
      </c>
      <c r="E10" s="11">
        <f>INDEX(CALC!$B$30:$B$33,MATCH(LARGE(CALC!$K$30:$K$33,1),CALC!$K$30:$K$33,0))</f>
      </c>
      <c r="F10" s="12"/>
      <c r="G10" s="13"/>
      <c r="H10" s="12" t="s">
        <v>15</v>
      </c>
      <c r="I10" s="13"/>
      <c r="J10" s="12"/>
      <c r="K10" s="48">
        <f>INDEX(CALC!$B$38:$B$41,MATCH(LARGE(CALC!$K$38:$K$41,2),CALC!$K$38:$K$41,0))</f>
      </c>
      <c r="L10" s="13"/>
    </row>
    <row r="11" spans="2:12" x14ac:dyDescent="0.25">
      <c r="B11" s="45" t="s">
        <v>198</v>
      </c>
      <c r="C11" s="17" t="s">
        <v>199</v>
      </c>
      <c r="D11" s="17" t="s">
        <v>200</v>
      </c>
      <c r="E11" s="18">
        <f>INDEX(CALC!$B$14:$B$17,MATCH(LARGE(CALC!$K$14:$K$17,1),CALC!$K$14:$K$17,0))</f>
      </c>
      <c r="F11" s="19"/>
      <c r="G11" s="13"/>
      <c r="H11" s="19" t="s">
        <v>15</v>
      </c>
      <c r="I11" s="13"/>
      <c r="J11" s="19"/>
      <c r="K11" s="46" t="s">
        <v>68</v>
      </c>
      <c r="L11" s="13"/>
    </row>
    <row r="12" spans="2:12" x14ac:dyDescent="0.25">
      <c r="B12" s="47" t="s">
        <v>201</v>
      </c>
      <c r="C12" s="10" t="s">
        <v>199</v>
      </c>
      <c r="D12" s="10" t="s">
        <v>202</v>
      </c>
      <c r="E12" s="11">
        <f>INDEX(CALC!$B$26:$B$29,MATCH(LARGE(CALC!$K$26:$K$29,1),CALC!$K$26:$K$29,0))</f>
      </c>
      <c r="F12" s="12"/>
      <c r="G12" s="13"/>
      <c r="H12" s="12" t="s">
        <v>15</v>
      </c>
      <c r="I12" s="13"/>
      <c r="J12" s="12"/>
      <c r="K12" s="48" t="s">
        <v>104</v>
      </c>
      <c r="L12" s="13"/>
    </row>
    <row r="13" spans="2:12" x14ac:dyDescent="0.25">
      <c r="B13" s="45" t="s">
        <v>203</v>
      </c>
      <c r="C13" s="17" t="s">
        <v>185</v>
      </c>
      <c r="D13" s="17" t="s">
        <v>204</v>
      </c>
      <c r="E13" s="18">
        <f>INDEX(CALC!$B$10:$B$13,MATCH(LARGE(CALC!$K$10:$K$13,1),CALC!$K$10:$K$13,0))</f>
      </c>
      <c r="F13" s="19"/>
      <c r="G13" s="13"/>
      <c r="H13" s="19" t="s">
        <v>15</v>
      </c>
      <c r="I13" s="13"/>
      <c r="J13" s="19"/>
      <c r="K13" s="46">
        <f>INDEX(CALC!$B$22:$B$25,MATCH(LARGE(CALC!$K$22:$K$25,2),CALC!$K$22:$K$25,0))</f>
      </c>
      <c r="L13" s="13"/>
    </row>
    <row r="14" spans="2:12" x14ac:dyDescent="0.25">
      <c r="B14" s="47" t="s">
        <v>205</v>
      </c>
      <c r="C14" s="10" t="s">
        <v>188</v>
      </c>
      <c r="D14" s="10" t="s">
        <v>206</v>
      </c>
      <c r="E14" s="11">
        <f>INDEX(CALC!$B$18:$B$21,MATCH(LARGE(CALC!$K$18:$K$21,2),CALC!$K$18:$K$21,0))</f>
      </c>
      <c r="F14" s="12"/>
      <c r="G14" s="13"/>
      <c r="H14" s="12" t="s">
        <v>15</v>
      </c>
      <c r="I14" s="13"/>
      <c r="J14" s="12"/>
      <c r="K14" s="48">
        <f>INDEX(CALC!$B$34:$B$37,MATCH(LARGE(CALC!$K$34:$K$37,2),CALC!$K$34:$K$37,0))</f>
      </c>
      <c r="L14" s="13"/>
    </row>
    <row r="15" spans="2:12" x14ac:dyDescent="0.25">
      <c r="B15" s="45" t="s">
        <v>207</v>
      </c>
      <c r="C15" s="17" t="s">
        <v>188</v>
      </c>
      <c r="D15" s="17" t="s">
        <v>208</v>
      </c>
      <c r="E15" s="18">
        <f>INDEX(CALC!$B$2:$B$5,MATCH(LARGE(CALC!$K$2:$K$5,1),CALC!$K$2:$K$5,0))</f>
      </c>
      <c r="F15" s="19"/>
      <c r="G15" s="13"/>
      <c r="H15" s="19" t="s">
        <v>15</v>
      </c>
      <c r="I15" s="13"/>
      <c r="J15" s="19"/>
      <c r="K15" s="46" t="s">
        <v>81</v>
      </c>
      <c r="L15" s="13"/>
    </row>
    <row r="16" spans="2:12" x14ac:dyDescent="0.25">
      <c r="B16" s="47" t="s">
        <v>209</v>
      </c>
      <c r="C16" s="10" t="s">
        <v>199</v>
      </c>
      <c r="D16" s="10" t="s">
        <v>210</v>
      </c>
      <c r="E16" s="11">
        <f>INDEX(CALC!$B$46:$B$49,MATCH(LARGE(CALC!$K$46:$K$49,1),CALC!$K$46:$K$49,0))</f>
      </c>
      <c r="F16" s="12"/>
      <c r="G16" s="13"/>
      <c r="H16" s="12" t="s">
        <v>15</v>
      </c>
      <c r="I16" s="13"/>
      <c r="J16" s="12"/>
      <c r="K16" s="48" t="s">
        <v>118</v>
      </c>
      <c r="L16" s="13"/>
    </row>
    <row r="17" spans="2:12" x14ac:dyDescent="0.25">
      <c r="B17" s="45" t="s">
        <v>211</v>
      </c>
      <c r="C17" s="17" t="s">
        <v>212</v>
      </c>
      <c r="D17" s="17" t="s">
        <v>213</v>
      </c>
      <c r="E17" s="18">
        <f>INDEX(CALC!$B$38:$B$41,MATCH(LARGE(CALC!$K$38:$K$41,1),CALC!$K$38:$K$41,0))</f>
      </c>
      <c r="F17" s="19"/>
      <c r="G17" s="13"/>
      <c r="H17" s="19" t="s">
        <v>15</v>
      </c>
      <c r="I17" s="13"/>
      <c r="J17" s="19"/>
      <c r="K17" s="46">
        <f>INDEX(CALC!$B$30:$B$33,MATCH(LARGE(CALC!$K$30:$K$33,2),CALC!$K$30:$K$33,0))</f>
      </c>
      <c r="L17" s="13"/>
    </row>
    <row r="18" spans="2:12" x14ac:dyDescent="0.25">
      <c r="B18" s="47" t="s">
        <v>214</v>
      </c>
      <c r="C18" s="10" t="s">
        <v>212</v>
      </c>
      <c r="D18" s="10" t="s">
        <v>206</v>
      </c>
      <c r="E18" s="11">
        <f>INDEX(CALC!$B$14:$B$17,MATCH(LARGE(CALC!$K$14:$K$17,2),CALC!$K$14:$K$17,0))</f>
      </c>
      <c r="F18" s="12"/>
      <c r="G18" s="13"/>
      <c r="H18" s="12" t="s">
        <v>15</v>
      </c>
      <c r="I18" s="13"/>
      <c r="J18" s="12"/>
      <c r="K18" s="48">
        <f>INDEX(CALC!$B$26:$B$29,MATCH(LARGE(CALC!$K$26:$K$29,2),CALC!$K$26:$K$29,0))</f>
      </c>
      <c r="L18" s="13"/>
    </row>
    <row r="19" spans="2:12" x14ac:dyDescent="0.25">
      <c r="B19" s="45" t="s">
        <v>215</v>
      </c>
      <c r="C19" s="17" t="s">
        <v>195</v>
      </c>
      <c r="D19" s="17" t="s">
        <v>216</v>
      </c>
      <c r="E19" s="18">
        <f>INDEX(CALC!$B$6:$B$9,MATCH(LARGE(CALC!$K$6:$K$9,1),CALC!$K$6:$K$9,0))</f>
      </c>
      <c r="F19" s="19"/>
      <c r="G19" s="13"/>
      <c r="H19" s="19" t="s">
        <v>15</v>
      </c>
      <c r="I19" s="13"/>
      <c r="J19" s="19"/>
      <c r="K19" s="46" t="s">
        <v>101</v>
      </c>
      <c r="L19" s="13"/>
    </row>
    <row r="20" spans="2:12" x14ac:dyDescent="0.25">
      <c r="B20" s="47" t="s">
        <v>217</v>
      </c>
      <c r="C20" s="10" t="s">
        <v>212</v>
      </c>
      <c r="D20" s="10" t="s">
        <v>218</v>
      </c>
      <c r="E20" s="11">
        <f>INDEX(CALC!$B$42:$B$45,MATCH(LARGE(CALC!$K$42:$K$45,1),CALC!$K$42:$K$45,0))</f>
      </c>
      <c r="F20" s="12"/>
      <c r="G20" s="13"/>
      <c r="H20" s="12" t="s">
        <v>15</v>
      </c>
      <c r="I20" s="13"/>
      <c r="J20" s="12"/>
      <c r="K20" s="48" t="s">
        <v>74</v>
      </c>
      <c r="L20" s="13"/>
    </row>
    <row r="23" spans="2:12" x14ac:dyDescent="0.25">
      <c r="B23" s="43" t="s">
        <v>219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2:12" x14ac:dyDescent="0.25">
      <c r="B24" s="44" t="s">
        <v>3</v>
      </c>
      <c r="C24" s="44" t="s">
        <v>5</v>
      </c>
      <c r="D24" s="44" t="s">
        <v>182</v>
      </c>
      <c r="E24" s="44" t="s">
        <v>6</v>
      </c>
      <c r="F24" s="44" t="s">
        <v>7</v>
      </c>
      <c r="G24" s="44" t="s">
        <v>8</v>
      </c>
      <c r="H24" s="44" t="s">
        <v>9</v>
      </c>
      <c r="I24" s="44" t="s">
        <v>10</v>
      </c>
      <c r="J24" s="44" t="s">
        <v>7</v>
      </c>
      <c r="K24" s="44" t="s">
        <v>11</v>
      </c>
      <c r="L24" s="44" t="s">
        <v>183</v>
      </c>
    </row>
    <row r="25" spans="2:12" x14ac:dyDescent="0.25">
      <c r="B25" s="45" t="s">
        <v>220</v>
      </c>
      <c r="C25" s="17" t="s">
        <v>221</v>
      </c>
      <c r="D25" s="17" t="s">
        <v>222</v>
      </c>
      <c r="E25" s="18">
        <f>IF(AND(ISNUMBER(G5),ISNUMBER(I5)),IF(G5&gt;I5,E5,IF(I5&gt;G5,K5,IF(AND(LEN(L5)&gt;2,ISNUMBER(VALUE(LEFT(L5,FIND("-",L5)-1)))),IF(VALUE(LEFT(L5,FIND("-",L5)-1))&gt;VALUE(MID(L5,FIND("-",L5)+1,10)),E5,K5),""))),"")</f>
      </c>
      <c r="F25" s="19"/>
      <c r="G25" s="13"/>
      <c r="H25" s="19" t="s">
        <v>15</v>
      </c>
      <c r="I25" s="13"/>
      <c r="J25" s="19"/>
      <c r="K25" s="46">
        <f>IF(AND(ISNUMBER(G6),ISNUMBER(I6)),IF(G6&gt;I6,E6,IF(I6&gt;G6,K6,IF(AND(LEN(L6)&gt;2,ISNUMBER(VALUE(LEFT(L6,FIND("-",L6)-1)))),IF(VALUE(LEFT(L6,FIND("-",L6)-1))&gt;VALUE(MID(L6,FIND("-",L6)+1,10)),E6,K6),""))),"")</f>
      </c>
      <c r="L25" s="13"/>
    </row>
    <row r="26" spans="2:12" x14ac:dyDescent="0.25">
      <c r="B26" s="47" t="s">
        <v>223</v>
      </c>
      <c r="C26" s="10" t="s">
        <v>221</v>
      </c>
      <c r="D26" s="10" t="s">
        <v>204</v>
      </c>
      <c r="E26" s="11">
        <f>IF(AND(ISNUMBER(G7),ISNUMBER(I7)),IF(G7&gt;I7,E7,IF(I7&gt;G7,K7,IF(AND(LEN(L7)&gt;2,ISNUMBER(VALUE(LEFT(L7,FIND("-",L7)-1)))),IF(VALUE(LEFT(L7,FIND("-",L7)-1))&gt;VALUE(MID(L7,FIND("-",L7)+1,10)),E7,K7),""))),"")</f>
      </c>
      <c r="F26" s="12"/>
      <c r="G26" s="13"/>
      <c r="H26" s="12" t="s">
        <v>15</v>
      </c>
      <c r="I26" s="13"/>
      <c r="J26" s="12"/>
      <c r="K26" s="48">
        <f>IF(AND(ISNUMBER(G8),ISNUMBER(I8)),IF(G8&gt;I8,E8,IF(I8&gt;G8,K8,IF(AND(LEN(L8)&gt;2,ISNUMBER(VALUE(LEFT(L8,FIND("-",L8)-1)))),IF(VALUE(LEFT(L8,FIND("-",L8)-1))&gt;VALUE(MID(L8,FIND("-",L8)+1,10)),E8,K8),""))),"")</f>
      </c>
      <c r="L26" s="13"/>
    </row>
    <row r="27" spans="2:12" x14ac:dyDescent="0.25">
      <c r="B27" s="45" t="s">
        <v>224</v>
      </c>
      <c r="C27" s="17" t="s">
        <v>225</v>
      </c>
      <c r="D27" s="17" t="s">
        <v>206</v>
      </c>
      <c r="E27" s="18">
        <f>IF(AND(ISNUMBER(G9),ISNUMBER(I9)),IF(G9&gt;I9,E9,IF(I9&gt;G9,K9,IF(AND(LEN(L9)&gt;2,ISNUMBER(VALUE(LEFT(L9,FIND("-",L9)-1)))),IF(VALUE(LEFT(L9,FIND("-",L9)-1))&gt;VALUE(MID(L9,FIND("-",L9)+1,10)),E9,K9),""))),"")</f>
      </c>
      <c r="F27" s="19"/>
      <c r="G27" s="13"/>
      <c r="H27" s="19" t="s">
        <v>15</v>
      </c>
      <c r="I27" s="13"/>
      <c r="J27" s="19"/>
      <c r="K27" s="46">
        <f>IF(AND(ISNUMBER(G10),ISNUMBER(I10)),IF(G10&gt;I10,E10,IF(I10&gt;G10,K10,IF(AND(LEN(L10)&gt;2,ISNUMBER(VALUE(LEFT(L10,FIND("-",L10)-1)))),IF(VALUE(LEFT(L10,FIND("-",L10)-1))&gt;VALUE(MID(L10,FIND("-",L10)+1,10)),E10,K10),""))),"")</f>
      </c>
      <c r="L27" s="13"/>
    </row>
    <row r="28" spans="2:12" x14ac:dyDescent="0.25">
      <c r="B28" s="47" t="s">
        <v>226</v>
      </c>
      <c r="C28" s="10" t="s">
        <v>225</v>
      </c>
      <c r="D28" s="10" t="s">
        <v>202</v>
      </c>
      <c r="E28" s="11">
        <f>IF(AND(ISNUMBER(G11),ISNUMBER(I11)),IF(G11&gt;I11,E11,IF(I11&gt;G11,K11,IF(AND(LEN(L11)&gt;2,ISNUMBER(VALUE(LEFT(L11,FIND("-",L11)-1)))),IF(VALUE(LEFT(L11,FIND("-",L11)-1))&gt;VALUE(MID(L11,FIND("-",L11)+1,10)),E11,K11),""))),"")</f>
      </c>
      <c r="F28" s="12"/>
      <c r="G28" s="13"/>
      <c r="H28" s="12" t="s">
        <v>15</v>
      </c>
      <c r="I28" s="13"/>
      <c r="J28" s="12"/>
      <c r="K28" s="48">
        <f>IF(AND(ISNUMBER(G12),ISNUMBER(I12)),IF(G12&gt;I12,E12,IF(I12&gt;G12,K12,IF(AND(LEN(L12)&gt;2,ISNUMBER(VALUE(LEFT(L12,FIND("-",L12)-1)))),IF(VALUE(LEFT(L12,FIND("-",L12)-1))&gt;VALUE(MID(L12,FIND("-",L12)+1,10)),E12,K12),""))),"")</f>
      </c>
      <c r="L28" s="13"/>
    </row>
    <row r="29" spans="2:12" x14ac:dyDescent="0.25">
      <c r="B29" s="45" t="s">
        <v>227</v>
      </c>
      <c r="C29" s="17" t="s">
        <v>228</v>
      </c>
      <c r="D29" s="17" t="s">
        <v>189</v>
      </c>
      <c r="E29" s="18">
        <f>IF(AND(ISNUMBER(G13),ISNUMBER(I13)),IF(G13&gt;I13,E13,IF(I13&gt;G13,K13,IF(AND(LEN(L13)&gt;2,ISNUMBER(VALUE(LEFT(L13,FIND("-",L13)-1)))),IF(VALUE(LEFT(L13,FIND("-",L13)-1))&gt;VALUE(MID(L13,FIND("-",L13)+1,10)),E13,K13),""))),"")</f>
      </c>
      <c r="F29" s="19"/>
      <c r="G29" s="13"/>
      <c r="H29" s="19" t="s">
        <v>15</v>
      </c>
      <c r="I29" s="13"/>
      <c r="J29" s="19"/>
      <c r="K29" s="46">
        <f>IF(AND(ISNUMBER(G14),ISNUMBER(I14)),IF(G14&gt;I14,E14,IF(I14&gt;G14,K14,IF(AND(LEN(L14)&gt;2,ISNUMBER(VALUE(LEFT(L14,FIND("-",L14)-1)))),IF(VALUE(LEFT(L14,FIND("-",L14)-1))&gt;VALUE(MID(L14,FIND("-",L14)+1,10)),E14,K14),""))),"")</f>
      </c>
      <c r="L29" s="13"/>
    </row>
    <row r="30" spans="2:12" x14ac:dyDescent="0.25">
      <c r="B30" s="47" t="s">
        <v>229</v>
      </c>
      <c r="C30" s="10" t="s">
        <v>228</v>
      </c>
      <c r="D30" s="10" t="s">
        <v>208</v>
      </c>
      <c r="E30" s="11">
        <f>IF(AND(ISNUMBER(G15),ISNUMBER(I15)),IF(G15&gt;I15,E15,IF(I15&gt;G15,K15,IF(AND(LEN(L15)&gt;2,ISNUMBER(VALUE(LEFT(L15,FIND("-",L15)-1)))),IF(VALUE(LEFT(L15,FIND("-",L15)-1))&gt;VALUE(MID(L15,FIND("-",L15)+1,10)),E15,K15),""))),"")</f>
      </c>
      <c r="F30" s="12"/>
      <c r="G30" s="13"/>
      <c r="H30" s="12" t="s">
        <v>15</v>
      </c>
      <c r="I30" s="13"/>
      <c r="J30" s="12"/>
      <c r="K30" s="48">
        <f>IF(AND(ISNUMBER(G16),ISNUMBER(I16)),IF(G16&gt;I16,E16,IF(I16&gt;G16,K16,IF(AND(LEN(L16)&gt;2,ISNUMBER(VALUE(LEFT(L16,FIND("-",L16)-1)))),IF(VALUE(LEFT(L16,FIND("-",L16)-1))&gt;VALUE(MID(L16,FIND("-",L16)+1,10)),E16,K16),""))),"")</f>
      </c>
      <c r="L30" s="13"/>
    </row>
    <row r="31" spans="2:12" x14ac:dyDescent="0.25">
      <c r="B31" s="45" t="s">
        <v>230</v>
      </c>
      <c r="C31" s="17" t="s">
        <v>231</v>
      </c>
      <c r="D31" s="17" t="s">
        <v>210</v>
      </c>
      <c r="E31" s="18">
        <f>IF(AND(ISNUMBER(G17),ISNUMBER(I17)),IF(G17&gt;I17,E17,IF(I17&gt;G17,K17,IF(AND(LEN(L17)&gt;2,ISNUMBER(VALUE(LEFT(L17,FIND("-",L17)-1)))),IF(VALUE(LEFT(L17,FIND("-",L17)-1))&gt;VALUE(MID(L17,FIND("-",L17)+1,10)),E17,K17),""))),"")</f>
      </c>
      <c r="F31" s="19"/>
      <c r="G31" s="13"/>
      <c r="H31" s="19" t="s">
        <v>15</v>
      </c>
      <c r="I31" s="13"/>
      <c r="J31" s="19"/>
      <c r="K31" s="46">
        <f>IF(AND(ISNUMBER(G18),ISNUMBER(I18)),IF(G18&gt;I18,E18,IF(I18&gt;G18,K18,IF(AND(LEN(L18)&gt;2,ISNUMBER(VALUE(LEFT(L18,FIND("-",L18)-1)))),IF(VALUE(LEFT(L18,FIND("-",L18)-1))&gt;VALUE(MID(L18,FIND("-",L18)+1,10)),E18,K18),""))),"")</f>
      </c>
      <c r="L31" s="13"/>
    </row>
    <row r="32" spans="2:12" x14ac:dyDescent="0.25">
      <c r="B32" s="47" t="s">
        <v>232</v>
      </c>
      <c r="C32" s="10" t="s">
        <v>231</v>
      </c>
      <c r="D32" s="10" t="s">
        <v>216</v>
      </c>
      <c r="E32" s="11">
        <f>IF(AND(ISNUMBER(G19),ISNUMBER(I19)),IF(G19&gt;I19,E19,IF(I19&gt;G19,K19,IF(AND(LEN(L19)&gt;2,ISNUMBER(VALUE(LEFT(L19,FIND("-",L19)-1)))),IF(VALUE(LEFT(L19,FIND("-",L19)-1))&gt;VALUE(MID(L19,FIND("-",L19)+1,10)),E19,K19),""))),"")</f>
      </c>
      <c r="F32" s="12"/>
      <c r="G32" s="13"/>
      <c r="H32" s="12" t="s">
        <v>15</v>
      </c>
      <c r="I32" s="13"/>
      <c r="J32" s="12"/>
      <c r="K32" s="48">
        <f>IF(AND(ISNUMBER(G20),ISNUMBER(I20)),IF(G20&gt;I20,E20,IF(I20&gt;G20,K20,IF(AND(LEN(L20)&gt;2,ISNUMBER(VALUE(LEFT(L20,FIND("-",L20)-1)))),IF(VALUE(LEFT(L20,FIND("-",L20)-1))&gt;VALUE(MID(L20,FIND("-",L20)+1,10)),E20,K20),""))),"")</f>
      </c>
      <c r="L32" s="13"/>
    </row>
    <row r="35" spans="2:12" x14ac:dyDescent="0.25">
      <c r="B35" s="43" t="s">
        <v>233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2:12" x14ac:dyDescent="0.25">
      <c r="B36" s="44" t="s">
        <v>3</v>
      </c>
      <c r="C36" s="44" t="s">
        <v>5</v>
      </c>
      <c r="D36" s="44" t="s">
        <v>182</v>
      </c>
      <c r="E36" s="44" t="s">
        <v>6</v>
      </c>
      <c r="F36" s="44" t="s">
        <v>7</v>
      </c>
      <c r="G36" s="44" t="s">
        <v>8</v>
      </c>
      <c r="H36" s="44" t="s">
        <v>9</v>
      </c>
      <c r="I36" s="44" t="s">
        <v>10</v>
      </c>
      <c r="J36" s="44" t="s">
        <v>7</v>
      </c>
      <c r="K36" s="44" t="s">
        <v>11</v>
      </c>
      <c r="L36" s="44" t="s">
        <v>183</v>
      </c>
    </row>
    <row r="37" spans="2:12" x14ac:dyDescent="0.25">
      <c r="B37" s="45" t="s">
        <v>234</v>
      </c>
      <c r="C37" s="17" t="s">
        <v>235</v>
      </c>
      <c r="D37" s="17" t="s">
        <v>186</v>
      </c>
      <c r="E37" s="18">
        <f>IF(AND(ISNUMBER(G25),ISNUMBER(I25)),IF(G25&gt;I25,E25,IF(I25&gt;G25,K25,IF(AND(LEN(L25)&gt;2,ISNUMBER(VALUE(LEFT(L25,FIND("-",L25)-1)))),IF(VALUE(LEFT(L25,FIND("-",L25)-1))&gt;VALUE(MID(L25,FIND("-",L25)+1,10)),E25,K25),""))),"")</f>
      </c>
      <c r="F37" s="19"/>
      <c r="G37" s="13"/>
      <c r="H37" s="19" t="s">
        <v>15</v>
      </c>
      <c r="I37" s="13"/>
      <c r="J37" s="19"/>
      <c r="K37" s="46">
        <f>IF(AND(ISNUMBER(G26),ISNUMBER(I26)),IF(G26&gt;I26,E26,IF(I26&gt;G26,K26,IF(AND(LEN(L26)&gt;2,ISNUMBER(VALUE(LEFT(L26,FIND("-",L26)-1)))),IF(VALUE(LEFT(L26,FIND("-",L26)-1))&gt;VALUE(MID(L26,FIND("-",L26)+1,10)),E26,K26),""))),"")</f>
      </c>
      <c r="L37" s="13"/>
    </row>
    <row r="38" spans="2:12" x14ac:dyDescent="0.25">
      <c r="B38" s="47" t="s">
        <v>236</v>
      </c>
      <c r="C38" s="10" t="s">
        <v>237</v>
      </c>
      <c r="D38" s="10" t="s">
        <v>191</v>
      </c>
      <c r="E38" s="11">
        <f>IF(AND(ISNUMBER(G27),ISNUMBER(I27)),IF(G27&gt;I27,E27,IF(I27&gt;G27,K27,IF(AND(LEN(L27)&gt;2,ISNUMBER(VALUE(LEFT(L27,FIND("-",L27)-1)))),IF(VALUE(LEFT(L27,FIND("-",L27)-1))&gt;VALUE(MID(L27,FIND("-",L27)+1,10)),E27,K27),""))),"")</f>
      </c>
      <c r="F38" s="12"/>
      <c r="G38" s="13"/>
      <c r="H38" s="12" t="s">
        <v>15</v>
      </c>
      <c r="I38" s="13"/>
      <c r="J38" s="12"/>
      <c r="K38" s="48">
        <f>IF(AND(ISNUMBER(G28),ISNUMBER(I28)),IF(G28&gt;I28,E28,IF(I28&gt;G28,K28,IF(AND(LEN(L28)&gt;2,ISNUMBER(VALUE(LEFT(L28,FIND("-",L28)-1)))),IF(VALUE(LEFT(L28,FIND("-",L28)-1))&gt;VALUE(MID(L28,FIND("-",L28)+1,10)),E28,K28),""))),"")</f>
      </c>
      <c r="L38" s="13"/>
    </row>
    <row r="39" spans="2:12" x14ac:dyDescent="0.25">
      <c r="B39" s="45" t="s">
        <v>238</v>
      </c>
      <c r="C39" s="17" t="s">
        <v>239</v>
      </c>
      <c r="D39" s="17" t="s">
        <v>213</v>
      </c>
      <c r="E39" s="18">
        <f>IF(AND(ISNUMBER(G29),ISNUMBER(I29)),IF(G29&gt;I29,E29,IF(I29&gt;G29,K29,IF(AND(LEN(L29)&gt;2,ISNUMBER(VALUE(LEFT(L29,FIND("-",L29)-1)))),IF(VALUE(LEFT(L29,FIND("-",L29)-1))&gt;VALUE(MID(L29,FIND("-",L29)+1,10)),E29,K29),""))),"")</f>
      </c>
      <c r="F39" s="19"/>
      <c r="G39" s="13"/>
      <c r="H39" s="19" t="s">
        <v>15</v>
      </c>
      <c r="I39" s="13"/>
      <c r="J39" s="19"/>
      <c r="K39" s="46">
        <f>IF(AND(ISNUMBER(G30),ISNUMBER(I30)),IF(G30&gt;I30,E30,IF(I30&gt;G30,K30,IF(AND(LEN(L30)&gt;2,ISNUMBER(VALUE(LEFT(L30,FIND("-",L30)-1)))),IF(VALUE(LEFT(L30,FIND("-",L30)-1))&gt;VALUE(MID(L30,FIND("-",L30)+1,10)),E30,K30),""))),"")</f>
      </c>
      <c r="L39" s="13"/>
    </row>
    <row r="40" spans="2:12" x14ac:dyDescent="0.25">
      <c r="B40" s="47" t="s">
        <v>240</v>
      </c>
      <c r="C40" s="10" t="s">
        <v>239</v>
      </c>
      <c r="D40" s="10" t="s">
        <v>218</v>
      </c>
      <c r="E40" s="11">
        <f>IF(AND(ISNUMBER(G31),ISNUMBER(I31)),IF(G31&gt;I31,E31,IF(I31&gt;G31,K31,IF(AND(LEN(L31)&gt;2,ISNUMBER(VALUE(LEFT(L31,FIND("-",L31)-1)))),IF(VALUE(LEFT(L31,FIND("-",L31)-1))&gt;VALUE(MID(L31,FIND("-",L31)+1,10)),E31,K31),""))),"")</f>
      </c>
      <c r="F40" s="12"/>
      <c r="G40" s="13"/>
      <c r="H40" s="12" t="s">
        <v>15</v>
      </c>
      <c r="I40" s="13"/>
      <c r="J40" s="12"/>
      <c r="K40" s="48">
        <f>IF(AND(ISNUMBER(G32),ISNUMBER(I32)),IF(G32&gt;I32,E32,IF(I32&gt;G32,K32,IF(AND(LEN(L32)&gt;2,ISNUMBER(VALUE(LEFT(L32,FIND("-",L32)-1)))),IF(VALUE(LEFT(L32,FIND("-",L32)-1))&gt;VALUE(MID(L32,FIND("-",L32)+1,10)),E32,K32),""))),"")</f>
      </c>
      <c r="L40" s="13"/>
    </row>
    <row r="43" spans="2:12" x14ac:dyDescent="0.25">
      <c r="B43" s="43" t="s">
        <v>241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2:12" x14ac:dyDescent="0.25">
      <c r="B44" s="44" t="s">
        <v>3</v>
      </c>
      <c r="C44" s="44" t="s">
        <v>5</v>
      </c>
      <c r="D44" s="44" t="s">
        <v>182</v>
      </c>
      <c r="E44" s="44" t="s">
        <v>6</v>
      </c>
      <c r="F44" s="44" t="s">
        <v>7</v>
      </c>
      <c r="G44" s="44" t="s">
        <v>8</v>
      </c>
      <c r="H44" s="44" t="s">
        <v>9</v>
      </c>
      <c r="I44" s="44" t="s">
        <v>10</v>
      </c>
      <c r="J44" s="44" t="s">
        <v>7</v>
      </c>
      <c r="K44" s="44" t="s">
        <v>11</v>
      </c>
      <c r="L44" s="44" t="s">
        <v>183</v>
      </c>
    </row>
    <row r="45" spans="2:12" x14ac:dyDescent="0.25">
      <c r="B45" s="45" t="s">
        <v>242</v>
      </c>
      <c r="C45" s="17" t="s">
        <v>243</v>
      </c>
      <c r="D45" s="17" t="s">
        <v>206</v>
      </c>
      <c r="E45" s="18">
        <f>IF(AND(ISNUMBER(G37),ISNUMBER(I37)),IF(G37&gt;I37,E37,IF(I37&gt;G37,K37,IF(AND(LEN(L37)&gt;2,ISNUMBER(VALUE(LEFT(L37,FIND("-",L37)-1)))),IF(VALUE(LEFT(L37,FIND("-",L37)-1))&gt;VALUE(MID(L37,FIND("-",L37)+1,10)),E37,K37),""))),"")</f>
      </c>
      <c r="F45" s="19"/>
      <c r="G45" s="13"/>
      <c r="H45" s="19" t="s">
        <v>15</v>
      </c>
      <c r="I45" s="13"/>
      <c r="J45" s="19"/>
      <c r="K45" s="46">
        <f>IF(AND(ISNUMBER(G38),ISNUMBER(I38)),IF(G38&gt;I38,E38,IF(I38&gt;G38,K38,IF(AND(LEN(L38)&gt;2,ISNUMBER(VALUE(LEFT(L38,FIND("-",L38)-1)))),IF(VALUE(LEFT(L38,FIND("-",L38)-1))&gt;VALUE(MID(L38,FIND("-",L38)+1,10)),E38,K38),""))),"")</f>
      </c>
      <c r="L45" s="13"/>
    </row>
    <row r="46" spans="2:12" x14ac:dyDescent="0.25">
      <c r="B46" s="47" t="s">
        <v>244</v>
      </c>
      <c r="C46" s="10" t="s">
        <v>245</v>
      </c>
      <c r="D46" s="10" t="s">
        <v>210</v>
      </c>
      <c r="E46" s="11">
        <f>IF(AND(ISNUMBER(G39),ISNUMBER(I39)),IF(G39&gt;I39,E39,IF(I39&gt;G39,K39,IF(AND(LEN(L39)&gt;2,ISNUMBER(VALUE(LEFT(L39,FIND("-",L39)-1)))),IF(VALUE(LEFT(L39,FIND("-",L39)-1))&gt;VALUE(MID(L39,FIND("-",L39)+1,10)),E39,K39),""))),"")</f>
      </c>
      <c r="F46" s="12"/>
      <c r="G46" s="13"/>
      <c r="H46" s="12" t="s">
        <v>15</v>
      </c>
      <c r="I46" s="13"/>
      <c r="J46" s="12"/>
      <c r="K46" s="48">
        <f>IF(AND(ISNUMBER(G40),ISNUMBER(I40)),IF(G40&gt;I40,E40,IF(I40&gt;G40,K40,IF(AND(LEN(L40)&gt;2,ISNUMBER(VALUE(LEFT(L40,FIND("-",L40)-1)))),IF(VALUE(LEFT(L40,FIND("-",L40)-1))&gt;VALUE(MID(L40,FIND("-",L40)+1,10)),E40,K40),""))),"")</f>
      </c>
      <c r="L46" s="13"/>
    </row>
    <row r="49" spans="2:12" x14ac:dyDescent="0.25">
      <c r="B49" s="43" t="s">
        <v>246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</row>
    <row r="50" spans="2:12" x14ac:dyDescent="0.25">
      <c r="B50" s="44" t="s">
        <v>3</v>
      </c>
      <c r="C50" s="44" t="s">
        <v>5</v>
      </c>
      <c r="D50" s="44" t="s">
        <v>182</v>
      </c>
      <c r="E50" s="44" t="s">
        <v>6</v>
      </c>
      <c r="F50" s="44" t="s">
        <v>7</v>
      </c>
      <c r="G50" s="44" t="s">
        <v>8</v>
      </c>
      <c r="H50" s="44" t="s">
        <v>9</v>
      </c>
      <c r="I50" s="44" t="s">
        <v>10</v>
      </c>
      <c r="J50" s="44" t="s">
        <v>7</v>
      </c>
      <c r="K50" s="44" t="s">
        <v>11</v>
      </c>
      <c r="L50" s="44" t="s">
        <v>183</v>
      </c>
    </row>
    <row r="51" spans="2:12" x14ac:dyDescent="0.25">
      <c r="B51" s="45" t="s">
        <v>247</v>
      </c>
      <c r="C51" s="17" t="s">
        <v>248</v>
      </c>
      <c r="D51" s="17" t="s">
        <v>213</v>
      </c>
      <c r="E51" s="18">
        <f>IF(AND(ISNUMBER(G45),ISNUMBER(I45)),IF(G45&gt;I45,K45,IF(I45&gt;G45,E45,IF(AND(LEN(L45)&gt;2,ISNUMBER(VALUE(LEFT(L45,FIND("-",L45)-1)))),IF(VALUE(LEFT(L45,FIND("-",L45)-1))&gt;VALUE(MID(L45,FIND("-",L45)+1,10)),K45,E45),""))),"")</f>
      </c>
      <c r="F51" s="19"/>
      <c r="G51" s="13"/>
      <c r="H51" s="19" t="s">
        <v>15</v>
      </c>
      <c r="I51" s="13"/>
      <c r="J51" s="19"/>
      <c r="K51" s="46">
        <f>IF(AND(ISNUMBER(G46),ISNUMBER(I46)),IF(G46&gt;I46,K46,IF(I46&gt;G46,E46,IF(AND(LEN(L46)&gt;2,ISNUMBER(VALUE(LEFT(L46,FIND("-",L46)-1)))),IF(VALUE(LEFT(L46,FIND("-",L46)-1))&gt;VALUE(MID(L46,FIND("-",L46)+1,10)),K46,E46),""))),"")</f>
      </c>
      <c r="L51" s="13"/>
    </row>
    <row r="54" spans="2:12" x14ac:dyDescent="0.25">
      <c r="B54" s="43" t="s">
        <v>249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</row>
    <row r="55" spans="2:12" x14ac:dyDescent="0.25">
      <c r="B55" s="44" t="s">
        <v>3</v>
      </c>
      <c r="C55" s="44" t="s">
        <v>5</v>
      </c>
      <c r="D55" s="44" t="s">
        <v>182</v>
      </c>
      <c r="E55" s="44" t="s">
        <v>6</v>
      </c>
      <c r="F55" s="44" t="s">
        <v>7</v>
      </c>
      <c r="G55" s="44" t="s">
        <v>8</v>
      </c>
      <c r="H55" s="44" t="s">
        <v>9</v>
      </c>
      <c r="I55" s="44" t="s">
        <v>10</v>
      </c>
      <c r="J55" s="44" t="s">
        <v>7</v>
      </c>
      <c r="K55" s="44" t="s">
        <v>11</v>
      </c>
      <c r="L55" s="44" t="s">
        <v>183</v>
      </c>
    </row>
    <row r="56" spans="2:12" x14ac:dyDescent="0.25">
      <c r="B56" s="47" t="s">
        <v>250</v>
      </c>
      <c r="C56" s="10" t="s">
        <v>251</v>
      </c>
      <c r="D56" s="10" t="s">
        <v>189</v>
      </c>
      <c r="E56" s="11">
        <f>IF(AND(ISNUMBER(G45),ISNUMBER(I45)),IF(G45&gt;I45,E45,IF(I45&gt;G45,K45,IF(AND(LEN(L45)&gt;2,ISNUMBER(VALUE(LEFT(L45,FIND("-",L45)-1)))),IF(VALUE(LEFT(L45,FIND("-",L45)-1))&gt;VALUE(MID(L45,FIND("-",L45)+1,10)),E45,K45),""))),"")</f>
      </c>
      <c r="F56" s="12"/>
      <c r="G56" s="13"/>
      <c r="H56" s="12" t="s">
        <v>15</v>
      </c>
      <c r="I56" s="13"/>
      <c r="J56" s="12"/>
      <c r="K56" s="48">
        <f>IF(AND(ISNUMBER(G46),ISNUMBER(I46)),IF(G46&gt;I46,E46,IF(I46&gt;G46,K46,IF(AND(LEN(L46)&gt;2,ISNUMBER(VALUE(LEFT(L46,FIND("-",L46)-1)))),IF(VALUE(LEFT(L46,FIND("-",L46)-1))&gt;VALUE(MID(L46,FIND("-",L46)+1,10)),E46,K46),""))),"")</f>
      </c>
      <c r="L56" s="13"/>
    </row>
  </sheetData>
  <mergeCells count="7">
    <mergeCell ref="B1:L1"/>
    <mergeCell ref="B3:L3"/>
    <mergeCell ref="B23:L23"/>
    <mergeCell ref="B35:L35"/>
    <mergeCell ref="B43:L43"/>
    <mergeCell ref="B49:L49"/>
    <mergeCell ref="B54:L54"/>
  </mergeCells>
  <dataValidations count="21">
    <dataValidation type="whole" operator="greaterThanOrEqual" allowBlank="1" showErrorMessage="1" sqref="G10:G20">
      <formula1>0</formula1>
    </dataValidation>
    <dataValidation type="whole" operator="greaterThanOrEqual" allowBlank="1" showErrorMessage="1" sqref="G25:G32">
      <formula1>0</formula1>
    </dataValidation>
    <dataValidation type="whole" operator="greaterThanOrEqual" allowBlank="1" showErrorMessage="1" sqref="G37:G40">
      <formula1>0</formula1>
    </dataValidation>
    <dataValidation type="whole" operator="greaterThanOrEqual" allowBlank="1" showErrorMessage="1" sqref="G45:G46">
      <formula1>0</formula1>
    </dataValidation>
    <dataValidation type="whole" operator="greaterThanOrEqual" allowBlank="1" showErrorMessage="1" sqref="G5:G20">
      <formula1>0</formula1>
    </dataValidation>
    <dataValidation type="whole" operator="greaterThanOrEqual" allowBlank="1" showErrorMessage="1" sqref="G51">
      <formula1>0</formula1>
    </dataValidation>
    <dataValidation type="whole" operator="greaterThanOrEqual" allowBlank="1" showErrorMessage="1" sqref="G56">
      <formula1>0</formula1>
    </dataValidation>
    <dataValidation type="whole" operator="greaterThanOrEqual" allowBlank="1" showErrorMessage="1" sqref="I10:I20">
      <formula1>0</formula1>
    </dataValidation>
    <dataValidation type="whole" operator="greaterThanOrEqual" allowBlank="1" showErrorMessage="1" sqref="I25:I32">
      <formula1>0</formula1>
    </dataValidation>
    <dataValidation type="whole" operator="greaterThanOrEqual" allowBlank="1" showErrorMessage="1" sqref="I37:I40">
      <formula1>0</formula1>
    </dataValidation>
    <dataValidation type="whole" operator="greaterThanOrEqual" allowBlank="1" showErrorMessage="1" sqref="I45:I46">
      <formula1>0</formula1>
    </dataValidation>
    <dataValidation type="whole" operator="greaterThanOrEqual" allowBlank="1" showErrorMessage="1" sqref="I5:I20">
      <formula1>0</formula1>
    </dataValidation>
    <dataValidation type="whole" operator="greaterThanOrEqual" allowBlank="1" showErrorMessage="1" sqref="I51">
      <formula1>0</formula1>
    </dataValidation>
    <dataValidation type="whole" operator="greaterThanOrEqual" allowBlank="1" showErrorMessage="1" sqref="I56">
      <formula1>0</formula1>
    </dataValidation>
    <dataValidation type="whole" operator="greaterThanOrEqual" allowBlank="1" showErrorMessage="1" sqref="L10:L20">
      <formula1>0</formula1>
    </dataValidation>
    <dataValidation type="whole" operator="greaterThanOrEqual" allowBlank="1" showErrorMessage="1" sqref="L25:L32">
      <formula1>0</formula1>
    </dataValidation>
    <dataValidation type="whole" operator="greaterThanOrEqual" allowBlank="1" showErrorMessage="1" sqref="L37:L40">
      <formula1>0</formula1>
    </dataValidation>
    <dataValidation type="whole" operator="greaterThanOrEqual" allowBlank="1" showErrorMessage="1" sqref="L45:L46">
      <formula1>0</formula1>
    </dataValidation>
    <dataValidation type="whole" operator="greaterThanOrEqual" allowBlank="1" showErrorMessage="1" sqref="L5:L20">
      <formula1>0</formula1>
    </dataValidation>
    <dataValidation type="whole" operator="greaterThanOrEqual" allowBlank="1" showErrorMessage="1" sqref="L51">
      <formula1>0</formula1>
    </dataValidation>
    <dataValidation type="whole" operator="greaterThanOrEqual" allowBlank="1" showErrorMessage="1" sqref="L5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8"/>
  <sheetFormatPr defaultRowHeight="15" outlineLevelRow="0" outlineLevelCol="0" x14ac:dyDescent="55"/>
  <sheetData>
    <row r="1" spans="1:49" x14ac:dyDescent="0.25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  <c r="N1" t="s">
        <v>265</v>
      </c>
      <c r="O1" t="s">
        <v>266</v>
      </c>
      <c r="P1" t="s">
        <v>267</v>
      </c>
      <c r="Q1" t="s">
        <v>268</v>
      </c>
      <c r="R1" t="s">
        <v>269</v>
      </c>
      <c r="S1" t="s">
        <v>270</v>
      </c>
      <c r="T1" t="s">
        <v>271</v>
      </c>
      <c r="U1" t="s">
        <v>272</v>
      </c>
      <c r="V1" t="s">
        <v>273</v>
      </c>
      <c r="W1" t="s">
        <v>274</v>
      </c>
      <c r="X1" t="s">
        <v>275</v>
      </c>
      <c r="Y1" t="s">
        <v>276</v>
      </c>
      <c r="Z1" t="s">
        <v>277</v>
      </c>
      <c r="AA1" t="s">
        <v>278</v>
      </c>
      <c r="AB1" t="s">
        <v>279</v>
      </c>
      <c r="AC1" t="s">
        <v>280</v>
      </c>
      <c r="AD1" t="s">
        <v>281</v>
      </c>
      <c r="AE1" t="s">
        <v>282</v>
      </c>
      <c r="AF1" t="s">
        <v>283</v>
      </c>
      <c r="AG1" t="s">
        <v>284</v>
      </c>
      <c r="AH1" t="s">
        <v>285</v>
      </c>
      <c r="AI1" t="s">
        <v>286</v>
      </c>
      <c r="AJ1" t="s">
        <v>287</v>
      </c>
      <c r="AK1" t="s">
        <v>288</v>
      </c>
      <c r="AL1" t="s">
        <v>289</v>
      </c>
      <c r="AM1" t="s">
        <v>290</v>
      </c>
      <c r="AN1" t="s">
        <v>291</v>
      </c>
      <c r="AO1" t="s">
        <v>292</v>
      </c>
      <c r="AP1" t="s">
        <v>293</v>
      </c>
      <c r="AQ1" t="s">
        <v>294</v>
      </c>
      <c r="AR1" t="s">
        <v>295</v>
      </c>
      <c r="AS1" t="s">
        <v>296</v>
      </c>
      <c r="AT1" t="s">
        <v>297</v>
      </c>
      <c r="AU1" t="s">
        <v>298</v>
      </c>
      <c r="AV1" t="s">
        <v>299</v>
      </c>
      <c r="AW1" t="s">
        <v>300</v>
      </c>
    </row>
    <row r="2" spans="1:49" x14ac:dyDescent="0.25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314</v>
      </c>
      <c r="O2" t="s">
        <v>315</v>
      </c>
      <c r="P2" t="s">
        <v>316</v>
      </c>
      <c r="Q2" t="s">
        <v>317</v>
      </c>
      <c r="R2" t="s">
        <v>318</v>
      </c>
      <c r="S2" t="s">
        <v>319</v>
      </c>
      <c r="T2" t="s">
        <v>320</v>
      </c>
      <c r="U2" t="s">
        <v>321</v>
      </c>
      <c r="V2" t="s">
        <v>322</v>
      </c>
      <c r="W2" t="s">
        <v>323</v>
      </c>
      <c r="X2" t="s">
        <v>324</v>
      </c>
      <c r="Y2" t="s">
        <v>325</v>
      </c>
      <c r="Z2" t="s">
        <v>326</v>
      </c>
      <c r="AA2" t="s">
        <v>327</v>
      </c>
      <c r="AB2" t="s">
        <v>328</v>
      </c>
      <c r="AC2" t="s">
        <v>329</v>
      </c>
      <c r="AD2" t="s">
        <v>330</v>
      </c>
      <c r="AE2" t="s">
        <v>331</v>
      </c>
      <c r="AF2" t="s">
        <v>332</v>
      </c>
      <c r="AG2" t="s">
        <v>333</v>
      </c>
      <c r="AH2" t="s">
        <v>334</v>
      </c>
      <c r="AI2" t="s">
        <v>335</v>
      </c>
      <c r="AJ2" t="s">
        <v>336</v>
      </c>
      <c r="AK2" t="s">
        <v>337</v>
      </c>
      <c r="AL2" t="s">
        <v>338</v>
      </c>
      <c r="AM2" t="s">
        <v>339</v>
      </c>
      <c r="AN2" t="s">
        <v>340</v>
      </c>
      <c r="AO2" t="s">
        <v>341</v>
      </c>
      <c r="AP2" t="s">
        <v>342</v>
      </c>
      <c r="AQ2" t="s">
        <v>343</v>
      </c>
      <c r="AR2" t="s">
        <v>344</v>
      </c>
      <c r="AS2" t="s">
        <v>345</v>
      </c>
      <c r="AT2" t="s">
        <v>346</v>
      </c>
      <c r="AU2" t="s">
        <v>347</v>
      </c>
      <c r="AV2" t="s">
        <v>348</v>
      </c>
      <c r="AW2" t="s">
        <v>349</v>
      </c>
    </row>
    <row r="3" spans="1:49" x14ac:dyDescent="0.25">
      <c r="A3" t="s">
        <v>350</v>
      </c>
      <c r="B3" t="s">
        <v>351</v>
      </c>
      <c r="C3" t="s">
        <v>352</v>
      </c>
      <c r="D3" t="s">
        <v>353</v>
      </c>
      <c r="E3" t="s">
        <v>354</v>
      </c>
      <c r="F3" t="s">
        <v>355</v>
      </c>
      <c r="G3" t="s">
        <v>356</v>
      </c>
      <c r="H3" t="s">
        <v>357</v>
      </c>
      <c r="I3" t="s">
        <v>358</v>
      </c>
      <c r="J3" t="s">
        <v>359</v>
      </c>
      <c r="K3" t="s">
        <v>360</v>
      </c>
      <c r="L3" t="s">
        <v>361</v>
      </c>
      <c r="M3" t="s">
        <v>362</v>
      </c>
      <c r="N3" t="s">
        <v>363</v>
      </c>
      <c r="O3" t="s">
        <v>364</v>
      </c>
      <c r="P3" t="s">
        <v>365</v>
      </c>
      <c r="Q3" t="s">
        <v>366</v>
      </c>
      <c r="R3" t="s">
        <v>367</v>
      </c>
      <c r="S3" t="s">
        <v>368</v>
      </c>
      <c r="T3" t="s">
        <v>369</v>
      </c>
      <c r="U3" t="s">
        <v>370</v>
      </c>
      <c r="V3" t="s">
        <v>371</v>
      </c>
      <c r="W3" t="s">
        <v>372</v>
      </c>
      <c r="X3" t="s">
        <v>373</v>
      </c>
      <c r="Y3" t="s">
        <v>374</v>
      </c>
      <c r="Z3" t="s">
        <v>375</v>
      </c>
      <c r="AA3" t="s">
        <v>376</v>
      </c>
      <c r="AB3" t="s">
        <v>377</v>
      </c>
      <c r="AC3" t="s">
        <v>378</v>
      </c>
      <c r="AD3" t="s">
        <v>379</v>
      </c>
      <c r="AE3" t="s">
        <v>380</v>
      </c>
      <c r="AF3" t="s">
        <v>381</v>
      </c>
      <c r="AG3" t="s">
        <v>382</v>
      </c>
      <c r="AH3" t="s">
        <v>383</v>
      </c>
      <c r="AI3" t="s">
        <v>384</v>
      </c>
      <c r="AJ3" t="s">
        <v>385</v>
      </c>
      <c r="AK3" t="s">
        <v>386</v>
      </c>
      <c r="AL3" t="s">
        <v>387</v>
      </c>
      <c r="AM3" t="s">
        <v>388</v>
      </c>
      <c r="AN3" t="s">
        <v>389</v>
      </c>
      <c r="AO3" t="s">
        <v>390</v>
      </c>
      <c r="AP3" t="s">
        <v>391</v>
      </c>
      <c r="AQ3" t="s">
        <v>392</v>
      </c>
      <c r="AR3" t="s">
        <v>393</v>
      </c>
      <c r="AS3" t="s">
        <v>394</v>
      </c>
      <c r="AT3" t="s">
        <v>395</v>
      </c>
      <c r="AU3" t="s">
        <v>396</v>
      </c>
      <c r="AV3" t="s">
        <v>397</v>
      </c>
      <c r="AW3" t="s">
        <v>398</v>
      </c>
    </row>
    <row r="4" spans="1:49" x14ac:dyDescent="0.25">
      <c r="A4" t="s">
        <v>399</v>
      </c>
      <c r="B4" t="s">
        <v>400</v>
      </c>
      <c r="C4" t="s">
        <v>401</v>
      </c>
      <c r="D4" t="s">
        <v>402</v>
      </c>
      <c r="E4" t="s">
        <v>403</v>
      </c>
      <c r="F4" t="s">
        <v>404</v>
      </c>
      <c r="G4" t="s">
        <v>405</v>
      </c>
      <c r="H4" t="s">
        <v>406</v>
      </c>
      <c r="I4" t="s">
        <v>407</v>
      </c>
      <c r="J4" t="s">
        <v>408</v>
      </c>
      <c r="K4" t="s">
        <v>409</v>
      </c>
      <c r="L4" t="s">
        <v>410</v>
      </c>
      <c r="M4" t="s">
        <v>411</v>
      </c>
      <c r="N4" t="s">
        <v>412</v>
      </c>
      <c r="O4" t="s">
        <v>413</v>
      </c>
      <c r="P4" t="s">
        <v>414</v>
      </c>
      <c r="Q4" t="s">
        <v>415</v>
      </c>
      <c r="R4" t="s">
        <v>416</v>
      </c>
      <c r="S4" t="s">
        <v>417</v>
      </c>
      <c r="T4" t="s">
        <v>418</v>
      </c>
      <c r="U4" t="s">
        <v>419</v>
      </c>
      <c r="V4" t="s">
        <v>420</v>
      </c>
      <c r="W4" t="s">
        <v>421</v>
      </c>
      <c r="X4" t="s">
        <v>422</v>
      </c>
      <c r="Y4" t="s">
        <v>423</v>
      </c>
      <c r="Z4" t="s">
        <v>424</v>
      </c>
      <c r="AA4" t="s">
        <v>425</v>
      </c>
      <c r="AB4" t="s">
        <v>426</v>
      </c>
      <c r="AC4" t="s">
        <v>427</v>
      </c>
      <c r="AD4" t="s">
        <v>428</v>
      </c>
      <c r="AE4" t="s">
        <v>429</v>
      </c>
      <c r="AF4" t="s">
        <v>430</v>
      </c>
      <c r="AG4" t="s">
        <v>431</v>
      </c>
      <c r="AH4" t="s">
        <v>432</v>
      </c>
      <c r="AI4" t="s">
        <v>433</v>
      </c>
      <c r="AJ4" t="s">
        <v>434</v>
      </c>
      <c r="AK4" t="s">
        <v>435</v>
      </c>
      <c r="AL4" t="s">
        <v>436</v>
      </c>
      <c r="AM4" t="s">
        <v>437</v>
      </c>
      <c r="AN4" t="s">
        <v>438</v>
      </c>
      <c r="AO4" t="s">
        <v>439</v>
      </c>
      <c r="AP4" t="s">
        <v>440</v>
      </c>
      <c r="AQ4" t="s">
        <v>441</v>
      </c>
      <c r="AR4" t="s">
        <v>442</v>
      </c>
      <c r="AS4" t="s">
        <v>443</v>
      </c>
      <c r="AT4" t="s">
        <v>444</v>
      </c>
      <c r="AU4" t="s">
        <v>445</v>
      </c>
      <c r="AV4" t="s">
        <v>446</v>
      </c>
      <c r="AW4" t="s">
        <v>447</v>
      </c>
    </row>
    <row r="5" spans="1:49" x14ac:dyDescent="0.25">
      <c r="A5" t="s">
        <v>448</v>
      </c>
      <c r="B5" t="s">
        <v>449</v>
      </c>
      <c r="C5" t="s">
        <v>450</v>
      </c>
      <c r="D5" t="s">
        <v>451</v>
      </c>
      <c r="E5" t="s">
        <v>452</v>
      </c>
      <c r="F5" t="s">
        <v>453</v>
      </c>
      <c r="G5" t="s">
        <v>454</v>
      </c>
      <c r="H5" t="s">
        <v>455</v>
      </c>
      <c r="I5" t="s">
        <v>456</v>
      </c>
      <c r="J5" t="s">
        <v>457</v>
      </c>
      <c r="K5" t="s">
        <v>458</v>
      </c>
      <c r="L5" t="s">
        <v>459</v>
      </c>
      <c r="M5" t="s">
        <v>460</v>
      </c>
      <c r="N5" t="s">
        <v>461</v>
      </c>
      <c r="O5" t="s">
        <v>462</v>
      </c>
      <c r="P5" t="s">
        <v>463</v>
      </c>
      <c r="Q5" t="s">
        <v>464</v>
      </c>
      <c r="R5" t="s">
        <v>465</v>
      </c>
      <c r="S5" t="s">
        <v>466</v>
      </c>
      <c r="T5" t="s">
        <v>467</v>
      </c>
      <c r="U5" t="s">
        <v>468</v>
      </c>
      <c r="V5" t="s">
        <v>469</v>
      </c>
      <c r="W5" t="s">
        <v>470</v>
      </c>
      <c r="X5" t="s">
        <v>471</v>
      </c>
      <c r="Y5" t="s">
        <v>472</v>
      </c>
      <c r="Z5" t="s">
        <v>473</v>
      </c>
      <c r="AA5" t="s">
        <v>474</v>
      </c>
      <c r="AB5" t="s">
        <v>475</v>
      </c>
      <c r="AC5" t="s">
        <v>476</v>
      </c>
      <c r="AD5" t="s">
        <v>477</v>
      </c>
      <c r="AE5" t="s">
        <v>478</v>
      </c>
      <c r="AF5" t="s">
        <v>479</v>
      </c>
      <c r="AG5" t="s">
        <v>480</v>
      </c>
      <c r="AH5" t="s">
        <v>481</v>
      </c>
      <c r="AI5" t="s">
        <v>482</v>
      </c>
      <c r="AJ5" t="s">
        <v>483</v>
      </c>
      <c r="AK5" t="s">
        <v>484</v>
      </c>
      <c r="AL5" t="s">
        <v>485</v>
      </c>
      <c r="AM5" t="s">
        <v>486</v>
      </c>
      <c r="AN5" t="s">
        <v>487</v>
      </c>
      <c r="AO5" t="s">
        <v>488</v>
      </c>
      <c r="AP5" t="s">
        <v>489</v>
      </c>
      <c r="AQ5" t="s">
        <v>490</v>
      </c>
      <c r="AR5" t="s">
        <v>491</v>
      </c>
      <c r="AS5" t="s">
        <v>492</v>
      </c>
      <c r="AT5" t="s">
        <v>493</v>
      </c>
      <c r="AU5" t="s">
        <v>494</v>
      </c>
      <c r="AV5" t="s">
        <v>495</v>
      </c>
      <c r="AW5" t="s">
        <v>496</v>
      </c>
    </row>
    <row r="6" spans="1:49" x14ac:dyDescent="0.25">
      <c r="A6" t="s">
        <v>497</v>
      </c>
      <c r="B6" t="s">
        <v>498</v>
      </c>
      <c r="C6" t="s">
        <v>499</v>
      </c>
      <c r="D6" t="s">
        <v>500</v>
      </c>
      <c r="E6" t="s">
        <v>501</v>
      </c>
      <c r="F6" t="s">
        <v>502</v>
      </c>
      <c r="G6" t="s">
        <v>503</v>
      </c>
      <c r="H6" t="s">
        <v>504</v>
      </c>
      <c r="I6" t="s">
        <v>505</v>
      </c>
      <c r="J6" t="s">
        <v>506</v>
      </c>
      <c r="K6" t="s">
        <v>507</v>
      </c>
      <c r="L6" t="s">
        <v>508</v>
      </c>
      <c r="M6" t="s">
        <v>509</v>
      </c>
      <c r="N6" t="s">
        <v>510</v>
      </c>
      <c r="O6" t="s">
        <v>511</v>
      </c>
      <c r="P6" t="s">
        <v>512</v>
      </c>
      <c r="Q6" t="s">
        <v>513</v>
      </c>
      <c r="R6" t="s">
        <v>514</v>
      </c>
      <c r="S6" t="s">
        <v>515</v>
      </c>
      <c r="T6" t="s">
        <v>516</v>
      </c>
      <c r="U6" t="s">
        <v>517</v>
      </c>
      <c r="V6" t="s">
        <v>518</v>
      </c>
      <c r="W6" t="s">
        <v>519</v>
      </c>
      <c r="X6" t="s">
        <v>520</v>
      </c>
      <c r="Y6" t="s">
        <v>521</v>
      </c>
      <c r="Z6" t="s">
        <v>522</v>
      </c>
      <c r="AA6" t="s">
        <v>523</v>
      </c>
      <c r="AB6" t="s">
        <v>524</v>
      </c>
      <c r="AC6" t="s">
        <v>525</v>
      </c>
      <c r="AD6" t="s">
        <v>526</v>
      </c>
      <c r="AE6" t="s">
        <v>527</v>
      </c>
      <c r="AF6" t="s">
        <v>528</v>
      </c>
      <c r="AG6" t="s">
        <v>529</v>
      </c>
      <c r="AH6" t="s">
        <v>530</v>
      </c>
      <c r="AI6" t="s">
        <v>531</v>
      </c>
      <c r="AJ6" t="s">
        <v>532</v>
      </c>
      <c r="AK6" t="s">
        <v>533</v>
      </c>
      <c r="AL6" t="s">
        <v>534</v>
      </c>
      <c r="AM6" t="s">
        <v>535</v>
      </c>
      <c r="AN6" t="s">
        <v>536</v>
      </c>
      <c r="AO6" t="s">
        <v>537</v>
      </c>
      <c r="AP6" t="s">
        <v>538</v>
      </c>
      <c r="AQ6" t="s">
        <v>539</v>
      </c>
      <c r="AR6" t="s">
        <v>540</v>
      </c>
      <c r="AS6" t="s">
        <v>541</v>
      </c>
      <c r="AT6" t="s">
        <v>542</v>
      </c>
      <c r="AU6" t="s">
        <v>543</v>
      </c>
      <c r="AV6" t="s">
        <v>544</v>
      </c>
      <c r="AW6" t="s">
        <v>545</v>
      </c>
    </row>
    <row r="7" spans="1:49" x14ac:dyDescent="0.25">
      <c r="A7" t="s">
        <v>546</v>
      </c>
      <c r="B7" t="s">
        <v>547</v>
      </c>
      <c r="C7" t="s">
        <v>548</v>
      </c>
      <c r="D7" t="s">
        <v>549</v>
      </c>
      <c r="E7" t="s">
        <v>550</v>
      </c>
      <c r="F7" t="s">
        <v>551</v>
      </c>
      <c r="G7" t="s">
        <v>552</v>
      </c>
      <c r="H7" t="s">
        <v>553</v>
      </c>
      <c r="I7" t="s">
        <v>554</v>
      </c>
      <c r="J7" t="s">
        <v>555</v>
      </c>
      <c r="K7" t="s">
        <v>556</v>
      </c>
      <c r="L7" t="s">
        <v>557</v>
      </c>
      <c r="M7" t="s">
        <v>558</v>
      </c>
      <c r="N7" t="s">
        <v>559</v>
      </c>
      <c r="O7" t="s">
        <v>560</v>
      </c>
      <c r="P7" t="s">
        <v>561</v>
      </c>
      <c r="Q7" t="s">
        <v>562</v>
      </c>
      <c r="R7" t="s">
        <v>563</v>
      </c>
      <c r="S7" t="s">
        <v>564</v>
      </c>
      <c r="T7" t="s">
        <v>565</v>
      </c>
      <c r="U7" t="s">
        <v>566</v>
      </c>
      <c r="V7" t="s">
        <v>567</v>
      </c>
      <c r="W7" t="s">
        <v>568</v>
      </c>
      <c r="X7" t="s">
        <v>569</v>
      </c>
      <c r="Y7" t="s">
        <v>570</v>
      </c>
      <c r="Z7" t="s">
        <v>571</v>
      </c>
      <c r="AA7" t="s">
        <v>572</v>
      </c>
      <c r="AB7" t="s">
        <v>573</v>
      </c>
      <c r="AC7" t="s">
        <v>574</v>
      </c>
      <c r="AD7" t="s">
        <v>575</v>
      </c>
      <c r="AE7" t="s">
        <v>576</v>
      </c>
      <c r="AF7" t="s">
        <v>577</v>
      </c>
      <c r="AG7" t="s">
        <v>578</v>
      </c>
      <c r="AH7" t="s">
        <v>579</v>
      </c>
      <c r="AI7" t="s">
        <v>580</v>
      </c>
      <c r="AJ7" t="s">
        <v>581</v>
      </c>
      <c r="AK7" t="s">
        <v>582</v>
      </c>
      <c r="AL7" t="s">
        <v>583</v>
      </c>
      <c r="AM7" t="s">
        <v>584</v>
      </c>
      <c r="AN7" t="s">
        <v>585</v>
      </c>
      <c r="AO7" t="s">
        <v>586</v>
      </c>
      <c r="AP7" t="s">
        <v>587</v>
      </c>
      <c r="AQ7" t="s">
        <v>588</v>
      </c>
      <c r="AR7" t="s">
        <v>589</v>
      </c>
      <c r="AS7" t="s">
        <v>590</v>
      </c>
      <c r="AT7" t="s">
        <v>591</v>
      </c>
      <c r="AU7" t="s">
        <v>592</v>
      </c>
      <c r="AV7" t="s">
        <v>593</v>
      </c>
      <c r="AW7" t="s">
        <v>594</v>
      </c>
    </row>
    <row r="8" spans="1:49" x14ac:dyDescent="0.25">
      <c r="A8" t="s">
        <v>595</v>
      </c>
      <c r="B8" t="s">
        <v>596</v>
      </c>
      <c r="C8" t="s">
        <v>597</v>
      </c>
      <c r="D8" t="s">
        <v>598</v>
      </c>
      <c r="E8" t="s">
        <v>599</v>
      </c>
      <c r="F8" t="s">
        <v>600</v>
      </c>
      <c r="G8" t="s">
        <v>601</v>
      </c>
      <c r="H8" t="s">
        <v>602</v>
      </c>
      <c r="I8" t="s">
        <v>603</v>
      </c>
      <c r="J8" t="s">
        <v>604</v>
      </c>
      <c r="K8" t="s">
        <v>605</v>
      </c>
      <c r="L8" t="s">
        <v>606</v>
      </c>
      <c r="M8" t="s">
        <v>607</v>
      </c>
      <c r="N8" t="s">
        <v>608</v>
      </c>
      <c r="O8" t="s">
        <v>609</v>
      </c>
      <c r="P8" t="s">
        <v>610</v>
      </c>
      <c r="Q8" t="s">
        <v>611</v>
      </c>
      <c r="R8" t="s">
        <v>612</v>
      </c>
      <c r="S8" t="s">
        <v>613</v>
      </c>
      <c r="T8" t="s">
        <v>614</v>
      </c>
      <c r="U8" t="s">
        <v>615</v>
      </c>
      <c r="V8" t="s">
        <v>616</v>
      </c>
      <c r="W8" t="s">
        <v>617</v>
      </c>
      <c r="X8" t="s">
        <v>618</v>
      </c>
      <c r="Y8" t="s">
        <v>619</v>
      </c>
      <c r="Z8" t="s">
        <v>620</v>
      </c>
      <c r="AA8" t="s">
        <v>621</v>
      </c>
      <c r="AB8" t="s">
        <v>622</v>
      </c>
      <c r="AC8" t="s">
        <v>623</v>
      </c>
      <c r="AD8" t="s">
        <v>624</v>
      </c>
      <c r="AE8" t="s">
        <v>625</v>
      </c>
      <c r="AF8" t="s">
        <v>626</v>
      </c>
      <c r="AG8" t="s">
        <v>627</v>
      </c>
      <c r="AH8" t="s">
        <v>628</v>
      </c>
      <c r="AI8" t="s">
        <v>629</v>
      </c>
      <c r="AJ8" t="s">
        <v>630</v>
      </c>
      <c r="AK8" t="s">
        <v>631</v>
      </c>
      <c r="AL8" t="s">
        <v>632</v>
      </c>
      <c r="AM8" t="s">
        <v>633</v>
      </c>
      <c r="AN8" t="s">
        <v>634</v>
      </c>
      <c r="AO8" t="s">
        <v>635</v>
      </c>
      <c r="AP8" t="s">
        <v>636</v>
      </c>
      <c r="AQ8" t="s">
        <v>637</v>
      </c>
      <c r="AR8" t="s">
        <v>638</v>
      </c>
      <c r="AS8" t="s">
        <v>639</v>
      </c>
      <c r="AT8" t="s">
        <v>640</v>
      </c>
      <c r="AU8" t="s">
        <v>641</v>
      </c>
      <c r="AV8" t="s">
        <v>642</v>
      </c>
      <c r="AW8" t="s">
        <v>643</v>
      </c>
    </row>
    <row r="9" spans="1:49" x14ac:dyDescent="0.25">
      <c r="A9" t="s">
        <v>644</v>
      </c>
      <c r="B9" t="s">
        <v>645</v>
      </c>
      <c r="C9" t="s">
        <v>646</v>
      </c>
      <c r="D9" t="s">
        <v>647</v>
      </c>
      <c r="E9" t="s">
        <v>648</v>
      </c>
      <c r="F9" t="s">
        <v>649</v>
      </c>
      <c r="G9" t="s">
        <v>650</v>
      </c>
      <c r="H9" t="s">
        <v>651</v>
      </c>
      <c r="I9" t="s">
        <v>652</v>
      </c>
      <c r="J9" t="s">
        <v>653</v>
      </c>
      <c r="K9" t="s">
        <v>654</v>
      </c>
      <c r="L9" t="s">
        <v>655</v>
      </c>
      <c r="M9" t="s">
        <v>656</v>
      </c>
      <c r="N9" t="s">
        <v>657</v>
      </c>
      <c r="O9" t="s">
        <v>658</v>
      </c>
      <c r="P9" t="s">
        <v>659</v>
      </c>
      <c r="Q9" t="s">
        <v>660</v>
      </c>
      <c r="R9" t="s">
        <v>661</v>
      </c>
      <c r="S9" t="s">
        <v>662</v>
      </c>
      <c r="T9" t="s">
        <v>663</v>
      </c>
      <c r="U9" t="s">
        <v>664</v>
      </c>
      <c r="V9" t="s">
        <v>665</v>
      </c>
      <c r="W9" t="s">
        <v>666</v>
      </c>
      <c r="X9" t="s">
        <v>667</v>
      </c>
      <c r="Y9" t="s">
        <v>668</v>
      </c>
      <c r="Z9" t="s">
        <v>669</v>
      </c>
      <c r="AA9" t="s">
        <v>670</v>
      </c>
      <c r="AB9" t="s">
        <v>671</v>
      </c>
      <c r="AC9" t="s">
        <v>672</v>
      </c>
      <c r="AD9" t="s">
        <v>673</v>
      </c>
      <c r="AE9" t="s">
        <v>674</v>
      </c>
      <c r="AF9" t="s">
        <v>675</v>
      </c>
      <c r="AG9" t="s">
        <v>676</v>
      </c>
      <c r="AH9" t="s">
        <v>677</v>
      </c>
      <c r="AI9" t="s">
        <v>678</v>
      </c>
      <c r="AJ9" t="s">
        <v>679</v>
      </c>
      <c r="AK9" t="s">
        <v>680</v>
      </c>
      <c r="AL9" t="s">
        <v>681</v>
      </c>
      <c r="AM9" t="s">
        <v>682</v>
      </c>
      <c r="AN9" t="s">
        <v>683</v>
      </c>
      <c r="AO9" t="s">
        <v>684</v>
      </c>
      <c r="AP9" t="s">
        <v>685</v>
      </c>
      <c r="AQ9" t="s">
        <v>686</v>
      </c>
      <c r="AR9" t="s">
        <v>687</v>
      </c>
      <c r="AS9" t="s">
        <v>688</v>
      </c>
      <c r="AT9" t="s">
        <v>689</v>
      </c>
      <c r="AU9" t="s">
        <v>690</v>
      </c>
      <c r="AV9" t="s">
        <v>691</v>
      </c>
      <c r="AW9" t="s">
        <v>692</v>
      </c>
    </row>
    <row r="10" spans="1:49" x14ac:dyDescent="0.25">
      <c r="A10" t="s">
        <v>693</v>
      </c>
      <c r="B10" t="s">
        <v>694</v>
      </c>
      <c r="C10" t="s">
        <v>695</v>
      </c>
      <c r="D10" t="s">
        <v>696</v>
      </c>
      <c r="E10" t="s">
        <v>697</v>
      </c>
      <c r="F10" t="s">
        <v>698</v>
      </c>
      <c r="G10" t="s">
        <v>699</v>
      </c>
      <c r="H10" t="s">
        <v>700</v>
      </c>
      <c r="I10" t="s">
        <v>701</v>
      </c>
      <c r="J10" t="s">
        <v>702</v>
      </c>
      <c r="K10" t="s">
        <v>703</v>
      </c>
      <c r="L10" t="s">
        <v>704</v>
      </c>
      <c r="M10" t="s">
        <v>705</v>
      </c>
      <c r="N10" t="s">
        <v>706</v>
      </c>
      <c r="O10" t="s">
        <v>707</v>
      </c>
      <c r="P10" t="s">
        <v>708</v>
      </c>
      <c r="Q10" t="s">
        <v>709</v>
      </c>
      <c r="R10" t="s">
        <v>710</v>
      </c>
      <c r="S10" t="s">
        <v>711</v>
      </c>
      <c r="T10" t="s">
        <v>712</v>
      </c>
      <c r="U10" t="s">
        <v>713</v>
      </c>
      <c r="V10" t="s">
        <v>714</v>
      </c>
      <c r="W10" t="s">
        <v>715</v>
      </c>
      <c r="X10" t="s">
        <v>716</v>
      </c>
      <c r="Y10" t="s">
        <v>717</v>
      </c>
      <c r="Z10" t="s">
        <v>718</v>
      </c>
      <c r="AA10" t="s">
        <v>719</v>
      </c>
      <c r="AB10" t="s">
        <v>720</v>
      </c>
      <c r="AC10" t="s">
        <v>721</v>
      </c>
      <c r="AD10" t="s">
        <v>722</v>
      </c>
      <c r="AE10" t="s">
        <v>723</v>
      </c>
      <c r="AF10" t="s">
        <v>724</v>
      </c>
      <c r="AG10" t="s">
        <v>725</v>
      </c>
      <c r="AH10" t="s">
        <v>726</v>
      </c>
      <c r="AI10" t="s">
        <v>727</v>
      </c>
      <c r="AJ10" t="s">
        <v>728</v>
      </c>
      <c r="AK10" t="s">
        <v>729</v>
      </c>
      <c r="AL10" t="s">
        <v>730</v>
      </c>
      <c r="AM10" t="s">
        <v>731</v>
      </c>
      <c r="AN10" t="s">
        <v>732</v>
      </c>
      <c r="AO10" t="s">
        <v>733</v>
      </c>
      <c r="AP10" t="s">
        <v>734</v>
      </c>
      <c r="AQ10" t="s">
        <v>735</v>
      </c>
      <c r="AR10" t="s">
        <v>736</v>
      </c>
      <c r="AS10" t="s">
        <v>737</v>
      </c>
      <c r="AT10" t="s">
        <v>738</v>
      </c>
      <c r="AU10" t="s">
        <v>739</v>
      </c>
      <c r="AV10" t="s">
        <v>740</v>
      </c>
      <c r="AW10" t="s">
        <v>741</v>
      </c>
    </row>
    <row r="11" spans="1:49" x14ac:dyDescent="0.25">
      <c r="A11" t="s">
        <v>742</v>
      </c>
      <c r="B11" t="s">
        <v>743</v>
      </c>
      <c r="C11" t="s">
        <v>744</v>
      </c>
      <c r="D11" t="s">
        <v>745</v>
      </c>
      <c r="E11" t="s">
        <v>746</v>
      </c>
      <c r="F11" t="s">
        <v>747</v>
      </c>
      <c r="G11" t="s">
        <v>748</v>
      </c>
      <c r="H11" t="s">
        <v>749</v>
      </c>
      <c r="I11" t="s">
        <v>750</v>
      </c>
      <c r="J11" t="s">
        <v>751</v>
      </c>
      <c r="K11" t="s">
        <v>752</v>
      </c>
      <c r="L11" t="s">
        <v>753</v>
      </c>
      <c r="M11" t="s">
        <v>754</v>
      </c>
      <c r="N11" t="s">
        <v>755</v>
      </c>
      <c r="O11" t="s">
        <v>756</v>
      </c>
      <c r="P11" t="s">
        <v>757</v>
      </c>
      <c r="Q11" t="s">
        <v>758</v>
      </c>
      <c r="R11" t="s">
        <v>759</v>
      </c>
      <c r="S11" t="s">
        <v>760</v>
      </c>
      <c r="T11" t="s">
        <v>761</v>
      </c>
      <c r="U11" t="s">
        <v>762</v>
      </c>
      <c r="V11" t="s">
        <v>763</v>
      </c>
      <c r="W11" t="s">
        <v>764</v>
      </c>
      <c r="X11" t="s">
        <v>765</v>
      </c>
      <c r="Y11" t="s">
        <v>766</v>
      </c>
      <c r="Z11" t="s">
        <v>767</v>
      </c>
      <c r="AA11" t="s">
        <v>768</v>
      </c>
      <c r="AB11" t="s">
        <v>769</v>
      </c>
      <c r="AC11" t="s">
        <v>770</v>
      </c>
      <c r="AD11" t="s">
        <v>771</v>
      </c>
      <c r="AE11" t="s">
        <v>772</v>
      </c>
      <c r="AF11" t="s">
        <v>773</v>
      </c>
      <c r="AG11" t="s">
        <v>774</v>
      </c>
      <c r="AH11" t="s">
        <v>775</v>
      </c>
      <c r="AI11" t="s">
        <v>776</v>
      </c>
      <c r="AJ11" t="s">
        <v>777</v>
      </c>
      <c r="AK11" t="s">
        <v>778</v>
      </c>
      <c r="AL11" t="s">
        <v>779</v>
      </c>
      <c r="AM11" t="s">
        <v>780</v>
      </c>
      <c r="AN11" t="s">
        <v>781</v>
      </c>
      <c r="AO11" t="s">
        <v>782</v>
      </c>
      <c r="AP11" t="s">
        <v>783</v>
      </c>
      <c r="AQ11" t="s">
        <v>784</v>
      </c>
      <c r="AR11" t="s">
        <v>785</v>
      </c>
      <c r="AS11" t="s">
        <v>786</v>
      </c>
      <c r="AT11" t="s">
        <v>787</v>
      </c>
      <c r="AU11" t="s">
        <v>788</v>
      </c>
      <c r="AV11" t="s">
        <v>789</v>
      </c>
      <c r="AW11" t="s">
        <v>790</v>
      </c>
    </row>
    <row r="12" spans="1:49" x14ac:dyDescent="0.25">
      <c r="A12" t="s">
        <v>791</v>
      </c>
      <c r="B12" t="s">
        <v>792</v>
      </c>
      <c r="C12" t="s">
        <v>793</v>
      </c>
      <c r="D12" t="s">
        <v>794</v>
      </c>
      <c r="E12" t="s">
        <v>795</v>
      </c>
      <c r="F12" t="s">
        <v>796</v>
      </c>
      <c r="G12" t="s">
        <v>797</v>
      </c>
      <c r="H12" t="s">
        <v>798</v>
      </c>
      <c r="I12" t="s">
        <v>799</v>
      </c>
      <c r="J12" t="s">
        <v>800</v>
      </c>
      <c r="K12" t="s">
        <v>801</v>
      </c>
      <c r="L12" t="s">
        <v>802</v>
      </c>
      <c r="M12" t="s">
        <v>803</v>
      </c>
      <c r="N12" t="s">
        <v>804</v>
      </c>
      <c r="O12" t="s">
        <v>805</v>
      </c>
      <c r="P12" t="s">
        <v>806</v>
      </c>
      <c r="Q12" t="s">
        <v>807</v>
      </c>
      <c r="R12" t="s">
        <v>808</v>
      </c>
      <c r="S12" t="s">
        <v>809</v>
      </c>
      <c r="T12" t="s">
        <v>810</v>
      </c>
      <c r="U12" t="s">
        <v>811</v>
      </c>
      <c r="V12" t="s">
        <v>812</v>
      </c>
      <c r="W12" t="s">
        <v>813</v>
      </c>
      <c r="X12" t="s">
        <v>814</v>
      </c>
      <c r="Y12" t="s">
        <v>815</v>
      </c>
      <c r="Z12" t="s">
        <v>816</v>
      </c>
      <c r="AA12" t="s">
        <v>817</v>
      </c>
      <c r="AB12" t="s">
        <v>818</v>
      </c>
      <c r="AC12" t="s">
        <v>819</v>
      </c>
      <c r="AD12" t="s">
        <v>820</v>
      </c>
      <c r="AE12" t="s">
        <v>821</v>
      </c>
      <c r="AF12" t="s">
        <v>822</v>
      </c>
      <c r="AG12" t="s">
        <v>823</v>
      </c>
      <c r="AH12" t="s">
        <v>824</v>
      </c>
      <c r="AI12" t="s">
        <v>825</v>
      </c>
      <c r="AJ12" t="s">
        <v>826</v>
      </c>
      <c r="AK12" t="s">
        <v>827</v>
      </c>
      <c r="AL12" t="s">
        <v>828</v>
      </c>
      <c r="AM12" t="s">
        <v>829</v>
      </c>
      <c r="AN12" t="s">
        <v>830</v>
      </c>
      <c r="AO12" t="s">
        <v>831</v>
      </c>
      <c r="AP12" t="s">
        <v>832</v>
      </c>
      <c r="AQ12" t="s">
        <v>833</v>
      </c>
      <c r="AR12" t="s">
        <v>834</v>
      </c>
      <c r="AS12" t="s">
        <v>835</v>
      </c>
      <c r="AT12" t="s">
        <v>836</v>
      </c>
      <c r="AU12" t="s">
        <v>837</v>
      </c>
      <c r="AV12" t="s">
        <v>838</v>
      </c>
      <c r="AW12" t="s">
        <v>839</v>
      </c>
    </row>
    <row r="13" spans="1:49" x14ac:dyDescent="0.25">
      <c r="A13" t="s">
        <v>840</v>
      </c>
      <c r="B13" t="s">
        <v>841</v>
      </c>
      <c r="C13" t="s">
        <v>842</v>
      </c>
      <c r="D13" t="s">
        <v>843</v>
      </c>
      <c r="E13" t="s">
        <v>844</v>
      </c>
      <c r="F13" t="s">
        <v>845</v>
      </c>
      <c r="G13" t="s">
        <v>846</v>
      </c>
      <c r="H13" t="s">
        <v>847</v>
      </c>
      <c r="I13" t="s">
        <v>848</v>
      </c>
      <c r="J13" t="s">
        <v>849</v>
      </c>
      <c r="K13" t="s">
        <v>850</v>
      </c>
      <c r="L13" t="s">
        <v>851</v>
      </c>
      <c r="M13" t="s">
        <v>852</v>
      </c>
      <c r="N13" t="s">
        <v>853</v>
      </c>
      <c r="O13" t="s">
        <v>854</v>
      </c>
      <c r="P13" t="s">
        <v>855</v>
      </c>
      <c r="Q13" t="s">
        <v>856</v>
      </c>
      <c r="R13" t="s">
        <v>857</v>
      </c>
      <c r="S13" t="s">
        <v>858</v>
      </c>
      <c r="T13" t="s">
        <v>859</v>
      </c>
      <c r="U13" t="s">
        <v>860</v>
      </c>
      <c r="V13" t="s">
        <v>861</v>
      </c>
      <c r="W13" t="s">
        <v>862</v>
      </c>
      <c r="X13" t="s">
        <v>863</v>
      </c>
      <c r="Y13" t="s">
        <v>864</v>
      </c>
      <c r="Z13" t="s">
        <v>865</v>
      </c>
      <c r="AA13" t="s">
        <v>866</v>
      </c>
      <c r="AB13" t="s">
        <v>867</v>
      </c>
      <c r="AC13" t="s">
        <v>868</v>
      </c>
      <c r="AD13" t="s">
        <v>869</v>
      </c>
      <c r="AE13" t="s">
        <v>870</v>
      </c>
      <c r="AF13" t="s">
        <v>871</v>
      </c>
      <c r="AG13" t="s">
        <v>872</v>
      </c>
      <c r="AH13" t="s">
        <v>873</v>
      </c>
      <c r="AI13" t="s">
        <v>874</v>
      </c>
      <c r="AJ13" t="s">
        <v>875</v>
      </c>
      <c r="AK13" t="s">
        <v>876</v>
      </c>
      <c r="AL13" t="s">
        <v>877</v>
      </c>
      <c r="AM13" t="s">
        <v>878</v>
      </c>
      <c r="AN13" t="s">
        <v>879</v>
      </c>
      <c r="AO13" t="s">
        <v>880</v>
      </c>
      <c r="AP13" t="s">
        <v>881</v>
      </c>
      <c r="AQ13" t="s">
        <v>882</v>
      </c>
      <c r="AR13" t="s">
        <v>883</v>
      </c>
      <c r="AS13" t="s">
        <v>884</v>
      </c>
      <c r="AT13" t="s">
        <v>885</v>
      </c>
      <c r="AU13" t="s">
        <v>886</v>
      </c>
      <c r="AV13" t="s">
        <v>887</v>
      </c>
      <c r="AW13" t="s">
        <v>888</v>
      </c>
    </row>
    <row r="14" spans="1:49" x14ac:dyDescent="0.25">
      <c r="A14" t="s">
        <v>889</v>
      </c>
      <c r="B14" t="s">
        <v>890</v>
      </c>
      <c r="C14" t="s">
        <v>891</v>
      </c>
      <c r="D14" t="s">
        <v>892</v>
      </c>
      <c r="E14" t="s">
        <v>893</v>
      </c>
      <c r="F14" t="s">
        <v>894</v>
      </c>
      <c r="G14" t="s">
        <v>895</v>
      </c>
      <c r="H14" t="s">
        <v>896</v>
      </c>
      <c r="I14" t="s">
        <v>897</v>
      </c>
      <c r="J14" t="s">
        <v>898</v>
      </c>
      <c r="K14" t="s">
        <v>899</v>
      </c>
      <c r="L14" t="s">
        <v>900</v>
      </c>
      <c r="M14" t="s">
        <v>901</v>
      </c>
      <c r="N14" t="s">
        <v>902</v>
      </c>
      <c r="O14" t="s">
        <v>903</v>
      </c>
      <c r="P14" t="s">
        <v>904</v>
      </c>
      <c r="Q14" t="s">
        <v>905</v>
      </c>
      <c r="R14" t="s">
        <v>906</v>
      </c>
      <c r="S14" t="s">
        <v>907</v>
      </c>
      <c r="T14" t="s">
        <v>908</v>
      </c>
      <c r="U14" t="s">
        <v>909</v>
      </c>
      <c r="V14" t="s">
        <v>910</v>
      </c>
      <c r="W14" t="s">
        <v>911</v>
      </c>
      <c r="X14" t="s">
        <v>912</v>
      </c>
      <c r="Y14" t="s">
        <v>913</v>
      </c>
      <c r="Z14" t="s">
        <v>914</v>
      </c>
      <c r="AA14" t="s">
        <v>915</v>
      </c>
      <c r="AB14" t="s">
        <v>916</v>
      </c>
      <c r="AC14" t="s">
        <v>917</v>
      </c>
      <c r="AD14" t="s">
        <v>918</v>
      </c>
      <c r="AE14" t="s">
        <v>919</v>
      </c>
      <c r="AF14" t="s">
        <v>920</v>
      </c>
      <c r="AG14" t="s">
        <v>921</v>
      </c>
      <c r="AH14" t="s">
        <v>922</v>
      </c>
      <c r="AI14" t="s">
        <v>923</v>
      </c>
      <c r="AJ14" t="s">
        <v>924</v>
      </c>
      <c r="AK14" t="s">
        <v>925</v>
      </c>
      <c r="AL14" t="s">
        <v>926</v>
      </c>
      <c r="AM14" t="s">
        <v>927</v>
      </c>
      <c r="AN14" t="s">
        <v>928</v>
      </c>
      <c r="AO14" t="s">
        <v>929</v>
      </c>
      <c r="AP14" t="s">
        <v>930</v>
      </c>
      <c r="AQ14" t="s">
        <v>931</v>
      </c>
      <c r="AR14" t="s">
        <v>932</v>
      </c>
      <c r="AS14" t="s">
        <v>933</v>
      </c>
      <c r="AT14" t="s">
        <v>934</v>
      </c>
      <c r="AU14" t="s">
        <v>935</v>
      </c>
      <c r="AV14" t="s">
        <v>936</v>
      </c>
      <c r="AW14" t="s">
        <v>937</v>
      </c>
    </row>
    <row r="15" spans="1:49" x14ac:dyDescent="0.25">
      <c r="A15" t="s">
        <v>938</v>
      </c>
      <c r="B15" t="s">
        <v>939</v>
      </c>
      <c r="C15" t="s">
        <v>940</v>
      </c>
      <c r="D15" t="s">
        <v>941</v>
      </c>
      <c r="E15" t="s">
        <v>942</v>
      </c>
      <c r="F15" t="s">
        <v>943</v>
      </c>
      <c r="G15" t="s">
        <v>944</v>
      </c>
      <c r="H15" t="s">
        <v>945</v>
      </c>
      <c r="I15" t="s">
        <v>946</v>
      </c>
      <c r="J15" t="s">
        <v>947</v>
      </c>
      <c r="K15" t="s">
        <v>948</v>
      </c>
      <c r="L15" t="s">
        <v>949</v>
      </c>
      <c r="M15" t="s">
        <v>950</v>
      </c>
      <c r="N15" t="s">
        <v>951</v>
      </c>
      <c r="O15" t="s">
        <v>952</v>
      </c>
      <c r="P15" t="s">
        <v>953</v>
      </c>
      <c r="Q15" t="s">
        <v>954</v>
      </c>
      <c r="R15" t="s">
        <v>955</v>
      </c>
      <c r="S15" t="s">
        <v>956</v>
      </c>
      <c r="T15" t="s">
        <v>957</v>
      </c>
      <c r="U15" t="s">
        <v>958</v>
      </c>
      <c r="V15" t="s">
        <v>959</v>
      </c>
      <c r="W15" t="s">
        <v>960</v>
      </c>
      <c r="X15" t="s">
        <v>961</v>
      </c>
      <c r="Y15" t="s">
        <v>962</v>
      </c>
      <c r="Z15" t="s">
        <v>963</v>
      </c>
      <c r="AA15" t="s">
        <v>964</v>
      </c>
      <c r="AB15" t="s">
        <v>965</v>
      </c>
      <c r="AC15" t="s">
        <v>966</v>
      </c>
      <c r="AD15" t="s">
        <v>967</v>
      </c>
      <c r="AE15" t="s">
        <v>968</v>
      </c>
      <c r="AF15" t="s">
        <v>969</v>
      </c>
      <c r="AG15" t="s">
        <v>970</v>
      </c>
      <c r="AH15" t="s">
        <v>971</v>
      </c>
      <c r="AI15" t="s">
        <v>972</v>
      </c>
      <c r="AJ15" t="s">
        <v>973</v>
      </c>
      <c r="AK15" t="s">
        <v>974</v>
      </c>
      <c r="AL15" t="s">
        <v>975</v>
      </c>
      <c r="AM15" t="s">
        <v>976</v>
      </c>
      <c r="AN15" t="s">
        <v>977</v>
      </c>
      <c r="AO15" t="s">
        <v>978</v>
      </c>
      <c r="AP15" t="s">
        <v>979</v>
      </c>
      <c r="AQ15" t="s">
        <v>980</v>
      </c>
      <c r="AR15" t="s">
        <v>981</v>
      </c>
      <c r="AS15" t="s">
        <v>982</v>
      </c>
      <c r="AT15" t="s">
        <v>983</v>
      </c>
      <c r="AU15" t="s">
        <v>984</v>
      </c>
      <c r="AV15" t="s">
        <v>985</v>
      </c>
      <c r="AW15" t="s">
        <v>986</v>
      </c>
    </row>
    <row r="16" spans="1:49" x14ac:dyDescent="0.25">
      <c r="A16" t="s">
        <v>987</v>
      </c>
      <c r="B16" t="s">
        <v>988</v>
      </c>
      <c r="C16" t="s">
        <v>989</v>
      </c>
      <c r="D16" t="s">
        <v>990</v>
      </c>
      <c r="E16" t="s">
        <v>991</v>
      </c>
      <c r="F16" t="s">
        <v>992</v>
      </c>
      <c r="G16" t="s">
        <v>993</v>
      </c>
      <c r="H16" t="s">
        <v>994</v>
      </c>
      <c r="I16" t="s">
        <v>995</v>
      </c>
      <c r="J16" t="s">
        <v>996</v>
      </c>
      <c r="K16" t="s">
        <v>997</v>
      </c>
      <c r="L16" t="s">
        <v>998</v>
      </c>
      <c r="M16" t="s">
        <v>999</v>
      </c>
      <c r="N16" t="s">
        <v>1000</v>
      </c>
      <c r="O16" t="s">
        <v>1001</v>
      </c>
      <c r="P16" t="s">
        <v>1002</v>
      </c>
      <c r="Q16" t="s">
        <v>1003</v>
      </c>
      <c r="R16" t="s">
        <v>1004</v>
      </c>
      <c r="S16" t="s">
        <v>1005</v>
      </c>
      <c r="T16" t="s">
        <v>1006</v>
      </c>
      <c r="U16" t="s">
        <v>1007</v>
      </c>
      <c r="V16" t="s">
        <v>1008</v>
      </c>
      <c r="W16" t="s">
        <v>1009</v>
      </c>
      <c r="X16" t="s">
        <v>1010</v>
      </c>
      <c r="Y16" t="s">
        <v>1011</v>
      </c>
      <c r="Z16" t="s">
        <v>1012</v>
      </c>
      <c r="AA16" t="s">
        <v>1013</v>
      </c>
      <c r="AB16" t="s">
        <v>1014</v>
      </c>
      <c r="AC16" t="s">
        <v>1015</v>
      </c>
      <c r="AD16" t="s">
        <v>1016</v>
      </c>
      <c r="AE16" t="s">
        <v>1017</v>
      </c>
      <c r="AF16" t="s">
        <v>1018</v>
      </c>
      <c r="AG16" t="s">
        <v>1019</v>
      </c>
      <c r="AH16" t="s">
        <v>1020</v>
      </c>
      <c r="AI16" t="s">
        <v>1021</v>
      </c>
      <c r="AJ16" t="s">
        <v>1022</v>
      </c>
      <c r="AK16" t="s">
        <v>1023</v>
      </c>
      <c r="AL16" t="s">
        <v>1024</v>
      </c>
      <c r="AM16" t="s">
        <v>1025</v>
      </c>
      <c r="AN16" t="s">
        <v>1026</v>
      </c>
      <c r="AO16" t="s">
        <v>1027</v>
      </c>
      <c r="AP16" t="s">
        <v>1028</v>
      </c>
      <c r="AQ16" t="s">
        <v>1029</v>
      </c>
      <c r="AR16" t="s">
        <v>1030</v>
      </c>
      <c r="AS16" t="s">
        <v>1031</v>
      </c>
      <c r="AT16" t="s">
        <v>1032</v>
      </c>
      <c r="AU16" t="s">
        <v>1033</v>
      </c>
      <c r="AV16" t="s">
        <v>1034</v>
      </c>
      <c r="AW16" t="s">
        <v>1035</v>
      </c>
    </row>
    <row r="17" spans="1:49" x14ac:dyDescent="0.25">
      <c r="A17" t="s">
        <v>1036</v>
      </c>
      <c r="B17" t="s">
        <v>1037</v>
      </c>
      <c r="C17" t="s">
        <v>1038</v>
      </c>
      <c r="D17" t="s">
        <v>1039</v>
      </c>
      <c r="E17" t="s">
        <v>1040</v>
      </c>
      <c r="F17" t="s">
        <v>1041</v>
      </c>
      <c r="G17" t="s">
        <v>1042</v>
      </c>
      <c r="H17" t="s">
        <v>1043</v>
      </c>
      <c r="I17" t="s">
        <v>1044</v>
      </c>
      <c r="J17" t="s">
        <v>1045</v>
      </c>
      <c r="K17" t="s">
        <v>1046</v>
      </c>
      <c r="L17" t="s">
        <v>1047</v>
      </c>
      <c r="M17" t="s">
        <v>1048</v>
      </c>
      <c r="N17" t="s">
        <v>1049</v>
      </c>
      <c r="O17" t="s">
        <v>1050</v>
      </c>
      <c r="P17" t="s">
        <v>1051</v>
      </c>
      <c r="Q17" t="s">
        <v>1052</v>
      </c>
      <c r="R17" t="s">
        <v>1053</v>
      </c>
      <c r="S17" t="s">
        <v>1054</v>
      </c>
      <c r="T17" t="s">
        <v>1055</v>
      </c>
      <c r="U17" t="s">
        <v>1056</v>
      </c>
      <c r="V17" t="s">
        <v>1057</v>
      </c>
      <c r="W17" t="s">
        <v>1058</v>
      </c>
      <c r="X17" t="s">
        <v>1059</v>
      </c>
      <c r="Y17" t="s">
        <v>1060</v>
      </c>
      <c r="Z17" t="s">
        <v>1061</v>
      </c>
      <c r="AA17" t="s">
        <v>1062</v>
      </c>
      <c r="AB17" t="s">
        <v>1063</v>
      </c>
      <c r="AC17" t="s">
        <v>1064</v>
      </c>
      <c r="AD17" t="s">
        <v>1065</v>
      </c>
      <c r="AE17" t="s">
        <v>1066</v>
      </c>
      <c r="AF17" t="s">
        <v>1067</v>
      </c>
      <c r="AG17" t="s">
        <v>1068</v>
      </c>
      <c r="AH17" t="s">
        <v>1069</v>
      </c>
      <c r="AI17" t="s">
        <v>1070</v>
      </c>
      <c r="AJ17" t="s">
        <v>1071</v>
      </c>
      <c r="AK17" t="s">
        <v>1072</v>
      </c>
      <c r="AL17" t="s">
        <v>1073</v>
      </c>
      <c r="AM17" t="s">
        <v>1074</v>
      </c>
      <c r="AN17" t="s">
        <v>1075</v>
      </c>
      <c r="AO17" t="s">
        <v>1076</v>
      </c>
      <c r="AP17" t="s">
        <v>1077</v>
      </c>
      <c r="AQ17" t="s">
        <v>1078</v>
      </c>
      <c r="AR17" t="s">
        <v>1079</v>
      </c>
      <c r="AS17" t="s">
        <v>1080</v>
      </c>
      <c r="AT17" t="s">
        <v>1081</v>
      </c>
      <c r="AU17" t="s">
        <v>1082</v>
      </c>
      <c r="AV17" t="s">
        <v>1083</v>
      </c>
      <c r="AW17" t="s">
        <v>1084</v>
      </c>
    </row>
    <row r="18" spans="1:49" x14ac:dyDescent="0.25">
      <c r="A18" t="s">
        <v>1085</v>
      </c>
      <c r="B18" t="s">
        <v>1086</v>
      </c>
      <c r="C18" t="s">
        <v>1087</v>
      </c>
      <c r="D18" t="s">
        <v>1088</v>
      </c>
      <c r="E18" t="s">
        <v>1089</v>
      </c>
      <c r="F18" t="s">
        <v>1090</v>
      </c>
      <c r="G18" t="s">
        <v>1091</v>
      </c>
      <c r="H18" t="s">
        <v>1092</v>
      </c>
      <c r="I18" t="s">
        <v>1093</v>
      </c>
      <c r="J18" t="s">
        <v>1094</v>
      </c>
      <c r="K18" t="s">
        <v>1095</v>
      </c>
      <c r="L18" t="s">
        <v>1096</v>
      </c>
      <c r="M18" t="s">
        <v>1097</v>
      </c>
      <c r="N18" t="s">
        <v>1098</v>
      </c>
      <c r="O18" t="s">
        <v>1099</v>
      </c>
      <c r="P18" t="s">
        <v>1100</v>
      </c>
      <c r="Q18" t="s">
        <v>1101</v>
      </c>
      <c r="R18" t="s">
        <v>1102</v>
      </c>
      <c r="S18" t="s">
        <v>1103</v>
      </c>
      <c r="T18" t="s">
        <v>1104</v>
      </c>
      <c r="U18" t="s">
        <v>1105</v>
      </c>
      <c r="V18" t="s">
        <v>1106</v>
      </c>
      <c r="W18" t="s">
        <v>1107</v>
      </c>
      <c r="X18" t="s">
        <v>1108</v>
      </c>
      <c r="Y18" t="s">
        <v>1109</v>
      </c>
      <c r="Z18" t="s">
        <v>1110</v>
      </c>
      <c r="AA18" t="s">
        <v>1111</v>
      </c>
      <c r="AB18" t="s">
        <v>1112</v>
      </c>
      <c r="AC18" t="s">
        <v>1113</v>
      </c>
      <c r="AD18" t="s">
        <v>1114</v>
      </c>
      <c r="AE18" t="s">
        <v>1115</v>
      </c>
      <c r="AF18" t="s">
        <v>1116</v>
      </c>
      <c r="AG18" t="s">
        <v>1117</v>
      </c>
      <c r="AH18" t="s">
        <v>1118</v>
      </c>
      <c r="AI18" t="s">
        <v>1119</v>
      </c>
      <c r="AJ18" t="s">
        <v>1120</v>
      </c>
      <c r="AK18" t="s">
        <v>1121</v>
      </c>
      <c r="AL18" t="s">
        <v>1122</v>
      </c>
      <c r="AM18" t="s">
        <v>1123</v>
      </c>
      <c r="AN18" t="s">
        <v>1124</v>
      </c>
      <c r="AO18" t="s">
        <v>1125</v>
      </c>
      <c r="AP18" t="s">
        <v>1126</v>
      </c>
      <c r="AQ18" t="s">
        <v>1127</v>
      </c>
      <c r="AR18" t="s">
        <v>1128</v>
      </c>
      <c r="AS18" t="s">
        <v>1129</v>
      </c>
      <c r="AT18" t="s">
        <v>1130</v>
      </c>
      <c r="AU18" t="s">
        <v>1131</v>
      </c>
      <c r="AV18" t="s">
        <v>1132</v>
      </c>
      <c r="AW18" t="s">
        <v>1133</v>
      </c>
    </row>
    <row r="19" spans="1:49" x14ac:dyDescent="0.25">
      <c r="A19" t="s">
        <v>1134</v>
      </c>
      <c r="B19" t="s">
        <v>1135</v>
      </c>
      <c r="C19" t="s">
        <v>1136</v>
      </c>
      <c r="D19" t="s">
        <v>1137</v>
      </c>
      <c r="E19" t="s">
        <v>1138</v>
      </c>
      <c r="F19" t="s">
        <v>1139</v>
      </c>
      <c r="G19" t="s">
        <v>1140</v>
      </c>
      <c r="H19" t="s">
        <v>1141</v>
      </c>
      <c r="I19" t="s">
        <v>1142</v>
      </c>
      <c r="J19" t="s">
        <v>1143</v>
      </c>
      <c r="K19" t="s">
        <v>1144</v>
      </c>
      <c r="L19" t="s">
        <v>1145</v>
      </c>
      <c r="M19" t="s">
        <v>1146</v>
      </c>
      <c r="N19" t="s">
        <v>1147</v>
      </c>
      <c r="O19" t="s">
        <v>1148</v>
      </c>
      <c r="P19" t="s">
        <v>1149</v>
      </c>
      <c r="Q19" t="s">
        <v>1150</v>
      </c>
      <c r="R19" t="s">
        <v>1151</v>
      </c>
      <c r="S19" t="s">
        <v>1152</v>
      </c>
      <c r="T19" t="s">
        <v>1153</v>
      </c>
      <c r="U19" t="s">
        <v>1154</v>
      </c>
      <c r="V19" t="s">
        <v>1155</v>
      </c>
      <c r="W19" t="s">
        <v>1156</v>
      </c>
      <c r="X19" t="s">
        <v>1157</v>
      </c>
      <c r="Y19" t="s">
        <v>1158</v>
      </c>
      <c r="Z19" t="s">
        <v>1159</v>
      </c>
      <c r="AA19" t="s">
        <v>1160</v>
      </c>
      <c r="AB19" t="s">
        <v>1161</v>
      </c>
      <c r="AC19" t="s">
        <v>1162</v>
      </c>
      <c r="AD19" t="s">
        <v>1163</v>
      </c>
      <c r="AE19" t="s">
        <v>387</v>
      </c>
      <c r="AF19" t="s">
        <v>1164</v>
      </c>
      <c r="AG19" t="s">
        <v>1165</v>
      </c>
      <c r="AH19" t="s">
        <v>1166</v>
      </c>
      <c r="AI19" t="s">
        <v>1167</v>
      </c>
      <c r="AJ19" t="s">
        <v>1168</v>
      </c>
      <c r="AK19" t="s">
        <v>1169</v>
      </c>
      <c r="AL19" t="s">
        <v>1170</v>
      </c>
      <c r="AM19" t="s">
        <v>1171</v>
      </c>
      <c r="AN19" t="s">
        <v>1172</v>
      </c>
      <c r="AO19" t="s">
        <v>1173</v>
      </c>
      <c r="AP19" t="s">
        <v>1174</v>
      </c>
      <c r="AQ19" t="s">
        <v>1175</v>
      </c>
      <c r="AR19" t="s">
        <v>1176</v>
      </c>
      <c r="AS19" t="s">
        <v>1177</v>
      </c>
      <c r="AT19" t="s">
        <v>1178</v>
      </c>
      <c r="AU19" t="s">
        <v>1179</v>
      </c>
      <c r="AV19" t="s">
        <v>1180</v>
      </c>
      <c r="AW19" t="s">
        <v>1181</v>
      </c>
    </row>
    <row r="20" spans="1:49" x14ac:dyDescent="0.25">
      <c r="A20" t="s">
        <v>1182</v>
      </c>
      <c r="B20" t="s">
        <v>1183</v>
      </c>
      <c r="C20" t="s">
        <v>1184</v>
      </c>
      <c r="D20" t="s">
        <v>1185</v>
      </c>
      <c r="E20" t="s">
        <v>1186</v>
      </c>
      <c r="F20" t="s">
        <v>1187</v>
      </c>
      <c r="G20" t="s">
        <v>1188</v>
      </c>
      <c r="H20" t="s">
        <v>1189</v>
      </c>
      <c r="I20" t="s">
        <v>1190</v>
      </c>
      <c r="J20" t="s">
        <v>1191</v>
      </c>
      <c r="K20" t="s">
        <v>1192</v>
      </c>
      <c r="L20" t="s">
        <v>1193</v>
      </c>
      <c r="M20" t="s">
        <v>1194</v>
      </c>
      <c r="N20" t="s">
        <v>1195</v>
      </c>
      <c r="O20" t="s">
        <v>1196</v>
      </c>
      <c r="P20" t="s">
        <v>1197</v>
      </c>
      <c r="Q20" t="s">
        <v>1198</v>
      </c>
      <c r="R20" t="s">
        <v>1199</v>
      </c>
      <c r="S20" t="s">
        <v>1200</v>
      </c>
      <c r="T20" t="s">
        <v>1201</v>
      </c>
      <c r="U20" t="s">
        <v>1202</v>
      </c>
      <c r="V20" t="s">
        <v>1203</v>
      </c>
      <c r="W20" t="s">
        <v>1204</v>
      </c>
      <c r="X20" t="s">
        <v>1205</v>
      </c>
      <c r="Y20" t="s">
        <v>1206</v>
      </c>
      <c r="Z20" t="s">
        <v>1207</v>
      </c>
      <c r="AA20" t="s">
        <v>1208</v>
      </c>
      <c r="AB20" t="s">
        <v>1209</v>
      </c>
      <c r="AC20" t="s">
        <v>1210</v>
      </c>
      <c r="AD20" t="s">
        <v>1211</v>
      </c>
      <c r="AE20" t="s">
        <v>1212</v>
      </c>
      <c r="AF20" t="s">
        <v>1213</v>
      </c>
      <c r="AG20" t="s">
        <v>1214</v>
      </c>
      <c r="AH20" t="s">
        <v>1215</v>
      </c>
      <c r="AI20" t="s">
        <v>1216</v>
      </c>
      <c r="AJ20" t="s">
        <v>1217</v>
      </c>
      <c r="AK20" t="s">
        <v>1218</v>
      </c>
      <c r="AL20" t="s">
        <v>1219</v>
      </c>
      <c r="AM20" t="s">
        <v>1220</v>
      </c>
      <c r="AN20" t="s">
        <v>1221</v>
      </c>
      <c r="AO20" t="s">
        <v>1222</v>
      </c>
      <c r="AP20" t="s">
        <v>1223</v>
      </c>
      <c r="AQ20" t="s">
        <v>1224</v>
      </c>
      <c r="AR20" t="s">
        <v>1225</v>
      </c>
      <c r="AS20" t="s">
        <v>1226</v>
      </c>
      <c r="AT20" t="s">
        <v>1227</v>
      </c>
      <c r="AU20" t="s">
        <v>1228</v>
      </c>
      <c r="AV20" t="s">
        <v>1229</v>
      </c>
      <c r="AW20" t="s">
        <v>1230</v>
      </c>
    </row>
    <row r="21" spans="1:49" x14ac:dyDescent="0.25">
      <c r="A21" t="s">
        <v>1231</v>
      </c>
      <c r="B21" t="s">
        <v>1232</v>
      </c>
      <c r="C21" t="s">
        <v>1233</v>
      </c>
      <c r="D21" t="s">
        <v>1234</v>
      </c>
      <c r="E21" t="s">
        <v>1235</v>
      </c>
      <c r="F21" t="s">
        <v>1236</v>
      </c>
      <c r="G21" t="s">
        <v>1237</v>
      </c>
      <c r="H21" t="s">
        <v>1238</v>
      </c>
      <c r="I21" t="s">
        <v>1239</v>
      </c>
      <c r="J21" t="s">
        <v>1240</v>
      </c>
      <c r="K21" t="s">
        <v>1241</v>
      </c>
      <c r="L21" t="s">
        <v>1242</v>
      </c>
      <c r="M21" t="s">
        <v>1243</v>
      </c>
      <c r="N21" t="s">
        <v>1244</v>
      </c>
      <c r="O21" t="s">
        <v>1245</v>
      </c>
      <c r="P21" t="s">
        <v>1246</v>
      </c>
      <c r="Q21" t="s">
        <v>1247</v>
      </c>
      <c r="R21" t="s">
        <v>1248</v>
      </c>
      <c r="S21" t="s">
        <v>1249</v>
      </c>
      <c r="T21" t="s">
        <v>1250</v>
      </c>
      <c r="U21" t="s">
        <v>1251</v>
      </c>
      <c r="V21" t="s">
        <v>1252</v>
      </c>
      <c r="W21" t="s">
        <v>1253</v>
      </c>
      <c r="X21" t="s">
        <v>1254</v>
      </c>
      <c r="Y21" t="s">
        <v>1255</v>
      </c>
      <c r="Z21" t="s">
        <v>1256</v>
      </c>
      <c r="AA21" t="s">
        <v>1257</v>
      </c>
      <c r="AB21" t="s">
        <v>1258</v>
      </c>
      <c r="AC21" t="s">
        <v>1259</v>
      </c>
      <c r="AD21" t="s">
        <v>1260</v>
      </c>
      <c r="AE21" t="s">
        <v>1261</v>
      </c>
      <c r="AF21" t="s">
        <v>1262</v>
      </c>
      <c r="AG21" t="s">
        <v>1263</v>
      </c>
      <c r="AH21" t="s">
        <v>1264</v>
      </c>
      <c r="AI21" t="s">
        <v>1265</v>
      </c>
      <c r="AJ21" t="s">
        <v>1266</v>
      </c>
      <c r="AK21" t="s">
        <v>1267</v>
      </c>
      <c r="AL21" t="s">
        <v>1268</v>
      </c>
      <c r="AM21" t="s">
        <v>1269</v>
      </c>
      <c r="AN21" t="s">
        <v>1270</v>
      </c>
      <c r="AO21" t="s">
        <v>1271</v>
      </c>
      <c r="AP21" t="s">
        <v>1272</v>
      </c>
      <c r="AQ21" t="s">
        <v>1273</v>
      </c>
      <c r="AR21" t="s">
        <v>1274</v>
      </c>
      <c r="AS21" t="s">
        <v>1275</v>
      </c>
      <c r="AT21" t="s">
        <v>1276</v>
      </c>
      <c r="AU21" t="s">
        <v>1277</v>
      </c>
      <c r="AV21" t="s">
        <v>1278</v>
      </c>
      <c r="AW21" t="s">
        <v>1279</v>
      </c>
    </row>
    <row r="22" spans="1:49" x14ac:dyDescent="0.25">
      <c r="A22" t="s">
        <v>1280</v>
      </c>
      <c r="B22" t="s">
        <v>1281</v>
      </c>
      <c r="C22" t="s">
        <v>1282</v>
      </c>
      <c r="D22" t="s">
        <v>1283</v>
      </c>
      <c r="E22" t="s">
        <v>1284</v>
      </c>
      <c r="F22" t="s">
        <v>1285</v>
      </c>
      <c r="G22" t="s">
        <v>1286</v>
      </c>
      <c r="H22" t="s">
        <v>1287</v>
      </c>
      <c r="I22" t="s">
        <v>1288</v>
      </c>
      <c r="J22" t="s">
        <v>1289</v>
      </c>
      <c r="K22" t="s">
        <v>1290</v>
      </c>
      <c r="L22" t="s">
        <v>1291</v>
      </c>
      <c r="M22" t="s">
        <v>1292</v>
      </c>
      <c r="N22" t="s">
        <v>1293</v>
      </c>
      <c r="O22" t="s">
        <v>1294</v>
      </c>
      <c r="P22" t="s">
        <v>1295</v>
      </c>
      <c r="Q22" t="s">
        <v>1296</v>
      </c>
      <c r="R22" t="s">
        <v>1297</v>
      </c>
      <c r="S22" t="s">
        <v>1298</v>
      </c>
      <c r="T22" t="s">
        <v>1299</v>
      </c>
      <c r="U22" t="s">
        <v>1300</v>
      </c>
      <c r="V22" t="s">
        <v>1301</v>
      </c>
      <c r="W22" t="s">
        <v>1302</v>
      </c>
      <c r="X22" t="s">
        <v>1303</v>
      </c>
      <c r="Y22" t="s">
        <v>1304</v>
      </c>
      <c r="Z22" t="s">
        <v>1305</v>
      </c>
      <c r="AA22" t="s">
        <v>1306</v>
      </c>
      <c r="AB22" t="s">
        <v>1307</v>
      </c>
      <c r="AC22" t="s">
        <v>1308</v>
      </c>
      <c r="AD22" t="s">
        <v>1309</v>
      </c>
      <c r="AE22" t="s">
        <v>1310</v>
      </c>
      <c r="AF22" t="s">
        <v>1311</v>
      </c>
      <c r="AG22" t="s">
        <v>1312</v>
      </c>
      <c r="AH22" t="s">
        <v>1313</v>
      </c>
      <c r="AI22" t="s">
        <v>1314</v>
      </c>
      <c r="AJ22" t="s">
        <v>1315</v>
      </c>
      <c r="AK22" t="s">
        <v>1316</v>
      </c>
      <c r="AL22" t="s">
        <v>1317</v>
      </c>
      <c r="AM22" t="s">
        <v>1318</v>
      </c>
      <c r="AN22" t="s">
        <v>1319</v>
      </c>
      <c r="AO22" t="s">
        <v>1320</v>
      </c>
      <c r="AP22" t="s">
        <v>1321</v>
      </c>
      <c r="AQ22" t="s">
        <v>1322</v>
      </c>
      <c r="AR22" t="s">
        <v>1323</v>
      </c>
      <c r="AS22" t="s">
        <v>1324</v>
      </c>
      <c r="AT22" t="s">
        <v>1325</v>
      </c>
      <c r="AU22" t="s">
        <v>1326</v>
      </c>
      <c r="AV22" t="s">
        <v>1327</v>
      </c>
      <c r="AW22" t="s">
        <v>1328</v>
      </c>
    </row>
    <row r="23" spans="1:49" x14ac:dyDescent="0.25">
      <c r="A23" t="s">
        <v>1329</v>
      </c>
      <c r="B23" t="s">
        <v>1330</v>
      </c>
      <c r="C23" t="s">
        <v>1331</v>
      </c>
      <c r="D23" t="s">
        <v>1332</v>
      </c>
      <c r="E23" t="s">
        <v>1333</v>
      </c>
      <c r="F23" t="s">
        <v>1334</v>
      </c>
      <c r="G23" t="s">
        <v>1335</v>
      </c>
      <c r="H23" t="s">
        <v>1336</v>
      </c>
      <c r="I23" t="s">
        <v>1337</v>
      </c>
      <c r="J23" t="s">
        <v>1338</v>
      </c>
      <c r="K23" t="s">
        <v>1339</v>
      </c>
      <c r="L23" t="s">
        <v>1340</v>
      </c>
      <c r="M23" t="s">
        <v>1341</v>
      </c>
      <c r="N23" t="s">
        <v>1342</v>
      </c>
      <c r="O23" t="s">
        <v>1343</v>
      </c>
      <c r="P23" t="s">
        <v>1344</v>
      </c>
      <c r="Q23" t="s">
        <v>1345</v>
      </c>
      <c r="R23" t="s">
        <v>1346</v>
      </c>
      <c r="S23" t="s">
        <v>1347</v>
      </c>
      <c r="T23" t="s">
        <v>1348</v>
      </c>
      <c r="U23" t="s">
        <v>1349</v>
      </c>
      <c r="V23" t="s">
        <v>1350</v>
      </c>
      <c r="W23" t="s">
        <v>1351</v>
      </c>
      <c r="X23" t="s">
        <v>1352</v>
      </c>
      <c r="Y23" t="s">
        <v>1353</v>
      </c>
      <c r="Z23" t="s">
        <v>1354</v>
      </c>
      <c r="AA23" t="s">
        <v>1355</v>
      </c>
      <c r="AB23" t="s">
        <v>1356</v>
      </c>
      <c r="AC23" t="s">
        <v>1357</v>
      </c>
      <c r="AD23" t="s">
        <v>1358</v>
      </c>
      <c r="AE23" t="s">
        <v>1359</v>
      </c>
      <c r="AF23" t="s">
        <v>1360</v>
      </c>
      <c r="AG23" t="s">
        <v>1361</v>
      </c>
      <c r="AH23" t="s">
        <v>1362</v>
      </c>
      <c r="AI23" t="s">
        <v>1363</v>
      </c>
      <c r="AJ23" t="s">
        <v>1364</v>
      </c>
      <c r="AK23" t="s">
        <v>1365</v>
      </c>
      <c r="AL23" t="s">
        <v>1366</v>
      </c>
      <c r="AM23" t="s">
        <v>1367</v>
      </c>
      <c r="AN23" t="s">
        <v>1368</v>
      </c>
      <c r="AO23" t="s">
        <v>1369</v>
      </c>
      <c r="AP23" t="s">
        <v>1370</v>
      </c>
      <c r="AQ23" t="s">
        <v>1371</v>
      </c>
      <c r="AR23" t="s">
        <v>1372</v>
      </c>
      <c r="AS23" t="s">
        <v>1373</v>
      </c>
      <c r="AT23" t="s">
        <v>1374</v>
      </c>
      <c r="AU23" t="s">
        <v>1375</v>
      </c>
      <c r="AV23" t="s">
        <v>1376</v>
      </c>
      <c r="AW23" t="s">
        <v>1377</v>
      </c>
    </row>
    <row r="24" spans="1:49" x14ac:dyDescent="0.25">
      <c r="A24" t="s">
        <v>1378</v>
      </c>
      <c r="B24" t="s">
        <v>1379</v>
      </c>
      <c r="C24" t="s">
        <v>1380</v>
      </c>
      <c r="D24" t="s">
        <v>1381</v>
      </c>
      <c r="E24" t="s">
        <v>1382</v>
      </c>
      <c r="F24" t="s">
        <v>1383</v>
      </c>
      <c r="G24" t="s">
        <v>1384</v>
      </c>
      <c r="H24" t="s">
        <v>1385</v>
      </c>
      <c r="I24" t="s">
        <v>1386</v>
      </c>
      <c r="J24" t="s">
        <v>1387</v>
      </c>
      <c r="K24" t="s">
        <v>1388</v>
      </c>
      <c r="L24" t="s">
        <v>1389</v>
      </c>
      <c r="M24" t="s">
        <v>1390</v>
      </c>
      <c r="N24" t="s">
        <v>1391</v>
      </c>
      <c r="O24" t="s">
        <v>1392</v>
      </c>
      <c r="P24" t="s">
        <v>1393</v>
      </c>
      <c r="Q24" t="s">
        <v>1394</v>
      </c>
      <c r="R24" t="s">
        <v>1395</v>
      </c>
      <c r="S24" t="s">
        <v>1396</v>
      </c>
      <c r="T24" t="s">
        <v>1397</v>
      </c>
      <c r="U24" t="s">
        <v>1398</v>
      </c>
      <c r="V24" t="s">
        <v>1399</v>
      </c>
      <c r="W24" t="s">
        <v>1400</v>
      </c>
      <c r="X24" t="s">
        <v>1401</v>
      </c>
      <c r="Y24" t="s">
        <v>1402</v>
      </c>
      <c r="Z24" t="s">
        <v>1403</v>
      </c>
      <c r="AA24" t="s">
        <v>1404</v>
      </c>
      <c r="AB24" t="s">
        <v>1405</v>
      </c>
      <c r="AC24" t="s">
        <v>1406</v>
      </c>
      <c r="AD24" t="s">
        <v>1407</v>
      </c>
      <c r="AE24" t="s">
        <v>1408</v>
      </c>
      <c r="AF24" t="s">
        <v>1409</v>
      </c>
      <c r="AG24" t="s">
        <v>1410</v>
      </c>
      <c r="AH24" t="s">
        <v>1411</v>
      </c>
      <c r="AI24" t="s">
        <v>1412</v>
      </c>
      <c r="AJ24" t="s">
        <v>1413</v>
      </c>
      <c r="AK24" t="s">
        <v>1414</v>
      </c>
      <c r="AL24" t="s">
        <v>1415</v>
      </c>
      <c r="AM24" t="s">
        <v>1416</v>
      </c>
      <c r="AN24" t="s">
        <v>1417</v>
      </c>
      <c r="AO24" t="s">
        <v>1418</v>
      </c>
      <c r="AP24" t="s">
        <v>1419</v>
      </c>
      <c r="AQ24" t="s">
        <v>1420</v>
      </c>
      <c r="AR24" t="s">
        <v>1421</v>
      </c>
      <c r="AS24" t="s">
        <v>1422</v>
      </c>
      <c r="AT24" t="s">
        <v>1423</v>
      </c>
      <c r="AU24" t="s">
        <v>1424</v>
      </c>
      <c r="AV24" t="s">
        <v>1425</v>
      </c>
      <c r="AW24" t="s">
        <v>1426</v>
      </c>
    </row>
    <row r="25" spans="1:49" x14ac:dyDescent="0.25">
      <c r="A25" t="s">
        <v>1427</v>
      </c>
      <c r="B25" t="s">
        <v>1428</v>
      </c>
      <c r="C25" t="s">
        <v>1429</v>
      </c>
      <c r="D25" t="s">
        <v>1430</v>
      </c>
      <c r="E25" t="s">
        <v>1431</v>
      </c>
      <c r="F25" t="s">
        <v>1432</v>
      </c>
      <c r="G25" t="s">
        <v>1433</v>
      </c>
      <c r="H25" t="s">
        <v>1434</v>
      </c>
      <c r="I25" t="s">
        <v>1435</v>
      </c>
      <c r="J25" t="s">
        <v>1436</v>
      </c>
      <c r="K25" t="s">
        <v>1437</v>
      </c>
      <c r="L25" t="s">
        <v>1438</v>
      </c>
      <c r="M25" t="s">
        <v>1439</v>
      </c>
      <c r="N25" t="s">
        <v>1440</v>
      </c>
      <c r="O25" t="s">
        <v>1441</v>
      </c>
      <c r="P25" t="s">
        <v>1442</v>
      </c>
      <c r="Q25" t="s">
        <v>1443</v>
      </c>
      <c r="R25" t="s">
        <v>1444</v>
      </c>
      <c r="S25" t="s">
        <v>1445</v>
      </c>
      <c r="T25" t="s">
        <v>1446</v>
      </c>
      <c r="U25" t="s">
        <v>1447</v>
      </c>
      <c r="V25" t="s">
        <v>1448</v>
      </c>
      <c r="W25" t="s">
        <v>1449</v>
      </c>
      <c r="X25" t="s">
        <v>1450</v>
      </c>
      <c r="Y25" t="s">
        <v>1451</v>
      </c>
      <c r="Z25" t="s">
        <v>1452</v>
      </c>
      <c r="AA25" t="s">
        <v>1453</v>
      </c>
      <c r="AB25" t="s">
        <v>1454</v>
      </c>
      <c r="AC25" t="s">
        <v>1455</v>
      </c>
      <c r="AD25" t="s">
        <v>1456</v>
      </c>
      <c r="AE25" t="s">
        <v>1457</v>
      </c>
      <c r="AF25" t="s">
        <v>1458</v>
      </c>
      <c r="AG25" t="s">
        <v>1459</v>
      </c>
      <c r="AH25" t="s">
        <v>1460</v>
      </c>
      <c r="AI25" t="s">
        <v>1461</v>
      </c>
      <c r="AJ25" t="s">
        <v>1462</v>
      </c>
      <c r="AK25" t="s">
        <v>1463</v>
      </c>
      <c r="AL25" t="s">
        <v>1464</v>
      </c>
      <c r="AM25" t="s">
        <v>1465</v>
      </c>
      <c r="AN25" t="s">
        <v>1466</v>
      </c>
      <c r="AO25" t="s">
        <v>1467</v>
      </c>
      <c r="AP25" t="s">
        <v>1468</v>
      </c>
      <c r="AQ25" t="s">
        <v>1469</v>
      </c>
      <c r="AR25" t="s">
        <v>1470</v>
      </c>
      <c r="AS25" t="s">
        <v>1471</v>
      </c>
      <c r="AT25" t="s">
        <v>1472</v>
      </c>
      <c r="AU25" t="s">
        <v>1473</v>
      </c>
      <c r="AV25" t="s">
        <v>1474</v>
      </c>
      <c r="AW25" t="s">
        <v>1475</v>
      </c>
    </row>
    <row r="26" spans="1:49" x14ac:dyDescent="0.25">
      <c r="A26" t="s">
        <v>1476</v>
      </c>
      <c r="B26" t="s">
        <v>1477</v>
      </c>
      <c r="C26" t="s">
        <v>1478</v>
      </c>
      <c r="D26" t="s">
        <v>1479</v>
      </c>
      <c r="E26" t="s">
        <v>1480</v>
      </c>
      <c r="F26" t="s">
        <v>1481</v>
      </c>
      <c r="G26" t="s">
        <v>1482</v>
      </c>
      <c r="H26" t="s">
        <v>1483</v>
      </c>
      <c r="I26" t="s">
        <v>1484</v>
      </c>
      <c r="J26" t="s">
        <v>1485</v>
      </c>
      <c r="K26" t="s">
        <v>1486</v>
      </c>
      <c r="L26" t="s">
        <v>1487</v>
      </c>
      <c r="M26" t="s">
        <v>1488</v>
      </c>
      <c r="N26" t="s">
        <v>1489</v>
      </c>
      <c r="O26" t="s">
        <v>1490</v>
      </c>
      <c r="P26" t="s">
        <v>1491</v>
      </c>
      <c r="Q26" t="s">
        <v>1492</v>
      </c>
      <c r="R26" t="s">
        <v>1493</v>
      </c>
      <c r="S26" t="s">
        <v>1494</v>
      </c>
      <c r="T26" t="s">
        <v>1495</v>
      </c>
      <c r="U26" t="s">
        <v>1496</v>
      </c>
      <c r="V26" t="s">
        <v>1497</v>
      </c>
      <c r="W26" t="s">
        <v>1498</v>
      </c>
      <c r="X26" t="s">
        <v>1499</v>
      </c>
      <c r="Y26" t="s">
        <v>1500</v>
      </c>
      <c r="Z26" t="s">
        <v>1501</v>
      </c>
      <c r="AA26" t="s">
        <v>1502</v>
      </c>
      <c r="AB26" t="s">
        <v>1503</v>
      </c>
      <c r="AC26" t="s">
        <v>1504</v>
      </c>
      <c r="AD26" t="s">
        <v>1505</v>
      </c>
      <c r="AE26" t="s">
        <v>1506</v>
      </c>
      <c r="AF26" t="s">
        <v>1507</v>
      </c>
      <c r="AG26" t="s">
        <v>1508</v>
      </c>
      <c r="AH26" t="s">
        <v>1509</v>
      </c>
      <c r="AI26" t="s">
        <v>1510</v>
      </c>
      <c r="AJ26" t="s">
        <v>1511</v>
      </c>
      <c r="AK26" t="s">
        <v>1512</v>
      </c>
      <c r="AL26" t="s">
        <v>1513</v>
      </c>
      <c r="AM26" t="s">
        <v>1514</v>
      </c>
      <c r="AN26" t="s">
        <v>1515</v>
      </c>
      <c r="AO26" t="s">
        <v>1516</v>
      </c>
      <c r="AP26" t="s">
        <v>1517</v>
      </c>
      <c r="AQ26" t="s">
        <v>1518</v>
      </c>
      <c r="AR26" t="s">
        <v>1519</v>
      </c>
      <c r="AS26" t="s">
        <v>1520</v>
      </c>
      <c r="AT26" t="s">
        <v>1521</v>
      </c>
      <c r="AU26" t="s">
        <v>1522</v>
      </c>
      <c r="AV26" t="s">
        <v>1523</v>
      </c>
      <c r="AW26" t="s">
        <v>1524</v>
      </c>
    </row>
    <row r="27" spans="1:1" x14ac:dyDescent="0.25">
      <c r="A27" t="s">
        <v>1525</v>
      </c>
    </row>
    <row r="28" spans="1:1" x14ac:dyDescent="0.25">
      <c r="A28" t="s">
        <v>1526</v>
      </c>
    </row>
    <row r="29" spans="1:1" x14ac:dyDescent="0.25">
      <c r="A29" t="s">
        <v>1527</v>
      </c>
    </row>
    <row r="30" spans="1:1" x14ac:dyDescent="0.25">
      <c r="A30" t="s">
        <v>1528</v>
      </c>
    </row>
    <row r="31" spans="1:1" x14ac:dyDescent="0.25">
      <c r="A31" t="s">
        <v>1529</v>
      </c>
    </row>
    <row r="32" spans="1:1" x14ac:dyDescent="0.25">
      <c r="A32" t="s">
        <v>1530</v>
      </c>
    </row>
    <row r="33" spans="1:1" x14ac:dyDescent="0.25">
      <c r="A33" t="s">
        <v>1531</v>
      </c>
    </row>
    <row r="34" spans="1:1" x14ac:dyDescent="0.25">
      <c r="A34" t="s">
        <v>1532</v>
      </c>
    </row>
    <row r="35" spans="1:1" x14ac:dyDescent="0.25">
      <c r="A35" t="s">
        <v>1533</v>
      </c>
    </row>
    <row r="36" spans="1:1" x14ac:dyDescent="0.25">
      <c r="A36" t="s">
        <v>1534</v>
      </c>
    </row>
    <row r="37" spans="1:1" x14ac:dyDescent="0.25">
      <c r="A37" t="s">
        <v>1535</v>
      </c>
    </row>
    <row r="38" spans="1:1" x14ac:dyDescent="0.25">
      <c r="A38" t="s">
        <v>1536</v>
      </c>
    </row>
    <row r="39" spans="1:1" x14ac:dyDescent="0.25">
      <c r="A39" t="s">
        <v>1537</v>
      </c>
    </row>
    <row r="40" spans="1:1" x14ac:dyDescent="0.25">
      <c r="A40" t="s">
        <v>1538</v>
      </c>
    </row>
    <row r="41" spans="1:1" x14ac:dyDescent="0.25">
      <c r="A41" t="s">
        <v>1539</v>
      </c>
    </row>
    <row r="42" spans="1:1" x14ac:dyDescent="0.25">
      <c r="A42" t="s">
        <v>1540</v>
      </c>
    </row>
    <row r="43" spans="1:1" x14ac:dyDescent="0.25">
      <c r="A43" t="s">
        <v>1541</v>
      </c>
    </row>
    <row r="44" spans="1:1" x14ac:dyDescent="0.25">
      <c r="A44" t="s">
        <v>1542</v>
      </c>
    </row>
    <row r="45" spans="1:1" x14ac:dyDescent="0.25">
      <c r="A45" t="s">
        <v>1543</v>
      </c>
    </row>
    <row r="46" spans="1:1" x14ac:dyDescent="0.25">
      <c r="A46" t="s">
        <v>1544</v>
      </c>
    </row>
    <row r="47" spans="1:1" x14ac:dyDescent="0.25">
      <c r="A47" t="s">
        <v>1545</v>
      </c>
    </row>
    <row r="48" spans="1:1" x14ac:dyDescent="0.25">
      <c r="A48" t="s">
        <v>1546</v>
      </c>
    </row>
  </sheetData>
  <sheetProtection sheet="1" selectUnlockedCell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workbookViewId="0" showGridLines="0"/>
  </sheetViews>
  <sheetFormatPr defaultRowHeight="18" outlineLevelRow="0" outlineLevelCol="0" x14ac:dyDescent="55" customHeight="1"/>
  <sheetData>
    <row r="2" ht="24" customHeight="1" spans="2:5" x14ac:dyDescent="0.25">
      <c r="B2" s="49" t="s">
        <v>1547</v>
      </c>
      <c r="C2" s="49"/>
      <c r="D2" s="49"/>
      <c r="E2" s="49"/>
    </row>
    <row r="3" ht="18" customHeight="1" spans="2:4" x14ac:dyDescent="0.25">
      <c r="B3" s="50" t="s">
        <v>7</v>
      </c>
      <c r="C3" s="50" t="s">
        <v>1548</v>
      </c>
      <c r="D3" s="50" t="s">
        <v>1549</v>
      </c>
    </row>
    <row r="4" ht="20" customHeight="1" spans="2:4" x14ac:dyDescent="0.25">
      <c r="B4" s="51" t="s">
        <v>1550</v>
      </c>
      <c r="C4" s="13" t="s">
        <v>1527</v>
      </c>
      <c r="D4" s="13" t="s">
        <v>1211</v>
      </c>
    </row>
    <row r="5" ht="20" customHeight="1" spans="2:4" x14ac:dyDescent="0.25">
      <c r="B5" s="51" t="s">
        <v>1551</v>
      </c>
      <c r="C5" s="13" t="s">
        <v>1527</v>
      </c>
      <c r="D5" s="13" t="s">
        <v>1358</v>
      </c>
    </row>
    <row r="7" spans="2:5" x14ac:dyDescent="0.25">
      <c r="B7" s="52" t="s">
        <v>1552</v>
      </c>
      <c r="C7" s="52"/>
      <c r="D7" s="52"/>
      <c r="E7" s="52"/>
    </row>
  </sheetData>
  <mergeCells count="2">
    <mergeCell ref="B2:E2"/>
    <mergeCell ref="B7:E7"/>
  </mergeCells>
  <dataValidations count="3">
    <dataValidation type="list" allowBlank="1" sqref="C4:C5">
      <formula1>AWARDS_TEAMS</formula1>
    </dataValidation>
    <dataValidation type="list" allowBlank="1" sqref="D4">
      <formula1>INDIRECT("PLAYERS_"&amp;$C$4)</formula1>
    </dataValidation>
    <dataValidation type="list" allowBlank="1" sqref="D5">
      <formula1>INDIRECT("PLAYERS_"&amp;$C$5)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FormatPr defaultRowHeight="15" outlineLevelRow="0" outlineLevelCol="0" x14ac:dyDescent="55"/>
  <sheetData>
    <row r="1" spans="1:5" x14ac:dyDescent="0.25">
      <c r="A1" t="s">
        <v>1553</v>
      </c>
      <c r="B1" t="s">
        <v>1554</v>
      </c>
      <c r="C1" t="s">
        <v>1555</v>
      </c>
      <c r="D1" t="s">
        <v>1556</v>
      </c>
      <c r="E1" t="s">
        <v>1557</v>
      </c>
    </row>
    <row r="2" spans="1:4" x14ac:dyDescent="0.25">
      <c r="A2" t="s">
        <v>12</v>
      </c>
      <c r="B2" t="s">
        <v>1558</v>
      </c>
      <c r="C2" t="s">
        <v>1559</v>
      </c>
      <c r="D2" t="s">
        <v>1560</v>
      </c>
    </row>
    <row r="3" spans="1:4" x14ac:dyDescent="0.25">
      <c r="A3" t="s">
        <v>25</v>
      </c>
      <c r="B3" t="s">
        <v>1558</v>
      </c>
      <c r="C3" t="s">
        <v>1561</v>
      </c>
      <c r="D3" t="s">
        <v>1562</v>
      </c>
    </row>
    <row r="4" spans="1:4" x14ac:dyDescent="0.25">
      <c r="A4" t="s">
        <v>35</v>
      </c>
      <c r="B4" t="s">
        <v>1558</v>
      </c>
      <c r="C4" t="s">
        <v>1563</v>
      </c>
      <c r="D4" t="s">
        <v>1564</v>
      </c>
    </row>
    <row r="5" spans="1:4" x14ac:dyDescent="0.25">
      <c r="A5" t="s">
        <v>40</v>
      </c>
      <c r="B5" t="s">
        <v>1558</v>
      </c>
      <c r="C5" t="s">
        <v>1565</v>
      </c>
      <c r="D5" t="s">
        <v>1566</v>
      </c>
    </row>
    <row r="6" spans="1:4" x14ac:dyDescent="0.25">
      <c r="A6" t="s">
        <v>44</v>
      </c>
      <c r="B6" t="s">
        <v>1558</v>
      </c>
      <c r="C6" t="s">
        <v>1567</v>
      </c>
      <c r="D6" t="s">
        <v>1568</v>
      </c>
    </row>
    <row r="7" spans="1:4" x14ac:dyDescent="0.25">
      <c r="A7" t="s">
        <v>49</v>
      </c>
      <c r="B7" t="s">
        <v>1558</v>
      </c>
      <c r="C7" t="s">
        <v>1569</v>
      </c>
      <c r="D7" t="s">
        <v>1570</v>
      </c>
    </row>
    <row r="8" spans="1:4" x14ac:dyDescent="0.25">
      <c r="A8" t="s">
        <v>17</v>
      </c>
      <c r="B8" t="s">
        <v>1558</v>
      </c>
      <c r="C8" t="s">
        <v>1571</v>
      </c>
      <c r="D8" t="s">
        <v>1572</v>
      </c>
    </row>
    <row r="9" spans="1:4" x14ac:dyDescent="0.25">
      <c r="A9" t="s">
        <v>28</v>
      </c>
      <c r="B9" t="s">
        <v>1558</v>
      </c>
      <c r="C9" t="s">
        <v>1573</v>
      </c>
      <c r="D9" t="s">
        <v>1574</v>
      </c>
    </row>
    <row r="10" spans="1:4" x14ac:dyDescent="0.25">
      <c r="A10" t="s">
        <v>37</v>
      </c>
      <c r="B10" t="s">
        <v>1558</v>
      </c>
      <c r="C10" t="s">
        <v>1575</v>
      </c>
      <c r="D10" t="s">
        <v>1576</v>
      </c>
    </row>
    <row r="11" spans="1:4" x14ac:dyDescent="0.25">
      <c r="A11" t="s">
        <v>42</v>
      </c>
      <c r="B11" t="s">
        <v>1558</v>
      </c>
      <c r="C11" t="s">
        <v>1577</v>
      </c>
      <c r="D11" t="s">
        <v>1578</v>
      </c>
    </row>
    <row r="12" spans="1:4" x14ac:dyDescent="0.25">
      <c r="A12" t="s">
        <v>46</v>
      </c>
      <c r="B12" t="s">
        <v>1558</v>
      </c>
      <c r="C12" t="s">
        <v>1579</v>
      </c>
      <c r="D12" t="s">
        <v>1580</v>
      </c>
    </row>
    <row r="13" spans="1:4" x14ac:dyDescent="0.25">
      <c r="A13" t="s">
        <v>50</v>
      </c>
      <c r="B13" t="s">
        <v>1558</v>
      </c>
      <c r="C13" t="s">
        <v>1581</v>
      </c>
      <c r="D13" t="s">
        <v>1582</v>
      </c>
    </row>
    <row r="14" spans="1:4" x14ac:dyDescent="0.25">
      <c r="A14" t="s">
        <v>21</v>
      </c>
      <c r="B14" t="s">
        <v>1558</v>
      </c>
      <c r="C14" t="s">
        <v>1583</v>
      </c>
      <c r="D14" t="s">
        <v>1584</v>
      </c>
    </row>
    <row r="15" spans="1:4" x14ac:dyDescent="0.25">
      <c r="A15" t="s">
        <v>32</v>
      </c>
      <c r="B15" t="s">
        <v>1558</v>
      </c>
      <c r="C15" t="s">
        <v>1585</v>
      </c>
      <c r="D15" t="s">
        <v>1586</v>
      </c>
    </row>
    <row r="16" spans="1:4" x14ac:dyDescent="0.25">
      <c r="A16" t="s">
        <v>38</v>
      </c>
      <c r="B16" t="s">
        <v>1558</v>
      </c>
      <c r="C16" t="s">
        <v>1587</v>
      </c>
      <c r="D16" t="s">
        <v>1588</v>
      </c>
    </row>
    <row r="17" spans="1:4" x14ac:dyDescent="0.25">
      <c r="A17" t="s">
        <v>43</v>
      </c>
      <c r="B17" t="s">
        <v>1558</v>
      </c>
      <c r="C17" t="s">
        <v>1589</v>
      </c>
      <c r="D17" t="s">
        <v>1590</v>
      </c>
    </row>
    <row r="18" spans="1:4" x14ac:dyDescent="0.25">
      <c r="A18" t="s">
        <v>48</v>
      </c>
      <c r="B18" t="s">
        <v>1558</v>
      </c>
      <c r="C18" t="s">
        <v>1591</v>
      </c>
      <c r="D18" t="s">
        <v>1592</v>
      </c>
    </row>
    <row r="19" spans="1:4" x14ac:dyDescent="0.25">
      <c r="A19" t="s">
        <v>51</v>
      </c>
      <c r="B19" t="s">
        <v>1558</v>
      </c>
      <c r="C19" t="s">
        <v>1593</v>
      </c>
      <c r="D19" t="s">
        <v>1594</v>
      </c>
    </row>
    <row r="20" spans="1:4" x14ac:dyDescent="0.25">
      <c r="A20" t="s">
        <v>63</v>
      </c>
      <c r="B20" t="s">
        <v>1558</v>
      </c>
      <c r="C20" t="s">
        <v>1595</v>
      </c>
      <c r="D20" t="s">
        <v>1596</v>
      </c>
    </row>
    <row r="21" spans="1:4" x14ac:dyDescent="0.25">
      <c r="A21" t="s">
        <v>73</v>
      </c>
      <c r="B21" t="s">
        <v>1558</v>
      </c>
      <c r="C21" t="s">
        <v>1597</v>
      </c>
      <c r="D21" t="s">
        <v>1598</v>
      </c>
    </row>
    <row r="22" spans="1:4" x14ac:dyDescent="0.25">
      <c r="A22" t="s">
        <v>82</v>
      </c>
      <c r="B22" t="s">
        <v>1558</v>
      </c>
      <c r="C22" t="s">
        <v>1599</v>
      </c>
      <c r="D22" t="s">
        <v>1600</v>
      </c>
    </row>
    <row r="23" spans="1:4" x14ac:dyDescent="0.25">
      <c r="A23" t="s">
        <v>85</v>
      </c>
      <c r="B23" t="s">
        <v>1558</v>
      </c>
      <c r="C23" t="s">
        <v>1601</v>
      </c>
      <c r="D23" t="s">
        <v>1602</v>
      </c>
    </row>
    <row r="24" spans="1:4" x14ac:dyDescent="0.25">
      <c r="A24" t="s">
        <v>89</v>
      </c>
      <c r="B24" t="s">
        <v>1558</v>
      </c>
      <c r="C24" t="s">
        <v>1603</v>
      </c>
      <c r="D24" t="s">
        <v>1604</v>
      </c>
    </row>
    <row r="25" spans="1:4" x14ac:dyDescent="0.25">
      <c r="A25" t="s">
        <v>93</v>
      </c>
      <c r="B25" t="s">
        <v>1558</v>
      </c>
      <c r="C25" t="s">
        <v>1605</v>
      </c>
      <c r="D25" t="s">
        <v>1606</v>
      </c>
    </row>
    <row r="26" spans="1:4" x14ac:dyDescent="0.25">
      <c r="A26" t="s">
        <v>66</v>
      </c>
      <c r="B26" t="s">
        <v>1558</v>
      </c>
      <c r="C26" t="s">
        <v>1607</v>
      </c>
      <c r="D26" t="s">
        <v>1608</v>
      </c>
    </row>
    <row r="27" spans="1:4" x14ac:dyDescent="0.25">
      <c r="A27" t="s">
        <v>76</v>
      </c>
      <c r="B27" t="s">
        <v>1558</v>
      </c>
      <c r="C27" t="s">
        <v>1609</v>
      </c>
      <c r="D27" t="s">
        <v>1610</v>
      </c>
    </row>
    <row r="28" spans="1:4" x14ac:dyDescent="0.25">
      <c r="A28" t="s">
        <v>83</v>
      </c>
      <c r="B28" t="s">
        <v>1558</v>
      </c>
      <c r="C28" t="s">
        <v>1611</v>
      </c>
      <c r="D28" t="s">
        <v>1612</v>
      </c>
    </row>
    <row r="29" spans="1:4" x14ac:dyDescent="0.25">
      <c r="A29" t="s">
        <v>86</v>
      </c>
      <c r="B29" t="s">
        <v>1558</v>
      </c>
      <c r="C29" t="s">
        <v>1613</v>
      </c>
      <c r="D29" t="s">
        <v>1614</v>
      </c>
    </row>
    <row r="30" spans="1:4" x14ac:dyDescent="0.25">
      <c r="A30" t="s">
        <v>91</v>
      </c>
      <c r="B30" t="s">
        <v>1558</v>
      </c>
      <c r="C30" t="s">
        <v>1615</v>
      </c>
      <c r="D30" t="s">
        <v>1616</v>
      </c>
    </row>
    <row r="31" spans="1:4" x14ac:dyDescent="0.25">
      <c r="A31" t="s">
        <v>94</v>
      </c>
      <c r="B31" t="s">
        <v>1558</v>
      </c>
      <c r="C31" t="s">
        <v>1617</v>
      </c>
      <c r="D31" t="s">
        <v>1618</v>
      </c>
    </row>
    <row r="32" spans="1:4" x14ac:dyDescent="0.25">
      <c r="A32" t="s">
        <v>70</v>
      </c>
      <c r="B32" t="s">
        <v>1558</v>
      </c>
      <c r="C32" t="s">
        <v>1619</v>
      </c>
      <c r="D32" t="s">
        <v>1620</v>
      </c>
    </row>
    <row r="33" spans="1:4" x14ac:dyDescent="0.25">
      <c r="A33" t="s">
        <v>79</v>
      </c>
      <c r="B33" t="s">
        <v>1558</v>
      </c>
      <c r="C33" t="s">
        <v>1621</v>
      </c>
      <c r="D33" t="s">
        <v>1622</v>
      </c>
    </row>
    <row r="34" spans="1:4" x14ac:dyDescent="0.25">
      <c r="A34" t="s">
        <v>84</v>
      </c>
      <c r="B34" t="s">
        <v>1558</v>
      </c>
      <c r="C34" t="s">
        <v>1623</v>
      </c>
      <c r="D34" t="s">
        <v>1624</v>
      </c>
    </row>
    <row r="35" spans="1:4" x14ac:dyDescent="0.25">
      <c r="A35" t="s">
        <v>88</v>
      </c>
      <c r="B35" t="s">
        <v>1558</v>
      </c>
      <c r="C35" t="s">
        <v>1625</v>
      </c>
      <c r="D35" t="s">
        <v>1626</v>
      </c>
    </row>
    <row r="36" spans="1:4" x14ac:dyDescent="0.25">
      <c r="A36" t="s">
        <v>92</v>
      </c>
      <c r="B36" t="s">
        <v>1558</v>
      </c>
      <c r="C36" t="s">
        <v>1627</v>
      </c>
      <c r="D36" t="s">
        <v>1628</v>
      </c>
    </row>
    <row r="37" spans="1:4" x14ac:dyDescent="0.25">
      <c r="A37" t="s">
        <v>95</v>
      </c>
      <c r="B37" t="s">
        <v>1558</v>
      </c>
      <c r="C37" t="s">
        <v>1629</v>
      </c>
      <c r="D37" t="s">
        <v>1630</v>
      </c>
    </row>
    <row r="38" spans="1:4" x14ac:dyDescent="0.25">
      <c r="A38" t="s">
        <v>99</v>
      </c>
      <c r="B38" t="s">
        <v>1558</v>
      </c>
      <c r="C38" t="s">
        <v>1631</v>
      </c>
      <c r="D38" t="s">
        <v>1632</v>
      </c>
    </row>
    <row r="39" spans="1:4" x14ac:dyDescent="0.25">
      <c r="A39" t="s">
        <v>109</v>
      </c>
      <c r="B39" t="s">
        <v>1558</v>
      </c>
      <c r="C39" t="s">
        <v>1633</v>
      </c>
      <c r="D39" t="s">
        <v>1634</v>
      </c>
    </row>
    <row r="40" spans="1:4" x14ac:dyDescent="0.25">
      <c r="A40" t="s">
        <v>119</v>
      </c>
      <c r="B40" t="s">
        <v>1558</v>
      </c>
      <c r="C40" t="s">
        <v>1635</v>
      </c>
      <c r="D40" t="s">
        <v>1636</v>
      </c>
    </row>
    <row r="41" spans="1:4" x14ac:dyDescent="0.25">
      <c r="A41" t="s">
        <v>124</v>
      </c>
      <c r="B41" t="s">
        <v>1558</v>
      </c>
      <c r="C41" t="s">
        <v>1637</v>
      </c>
      <c r="D41" t="s">
        <v>1638</v>
      </c>
    </row>
    <row r="42" spans="1:4" x14ac:dyDescent="0.25">
      <c r="A42" t="s">
        <v>127</v>
      </c>
      <c r="B42" t="s">
        <v>1558</v>
      </c>
      <c r="C42" t="s">
        <v>1639</v>
      </c>
      <c r="D42" t="s">
        <v>1640</v>
      </c>
    </row>
    <row r="43" spans="1:4" x14ac:dyDescent="0.25">
      <c r="A43" t="s">
        <v>131</v>
      </c>
      <c r="B43" t="s">
        <v>1558</v>
      </c>
      <c r="C43" t="s">
        <v>1641</v>
      </c>
      <c r="D43" t="s">
        <v>1642</v>
      </c>
    </row>
    <row r="44" spans="1:4" x14ac:dyDescent="0.25">
      <c r="A44" t="s">
        <v>103</v>
      </c>
      <c r="B44" t="s">
        <v>1558</v>
      </c>
      <c r="C44" t="s">
        <v>1643</v>
      </c>
      <c r="D44" t="s">
        <v>1644</v>
      </c>
    </row>
    <row r="45" spans="1:4" x14ac:dyDescent="0.25">
      <c r="A45" t="s">
        <v>112</v>
      </c>
      <c r="B45" t="s">
        <v>1558</v>
      </c>
      <c r="C45" t="s">
        <v>1645</v>
      </c>
      <c r="D45" t="s">
        <v>1646</v>
      </c>
    </row>
    <row r="46" spans="1:4" x14ac:dyDescent="0.25">
      <c r="A46" t="s">
        <v>120</v>
      </c>
      <c r="B46" t="s">
        <v>1558</v>
      </c>
      <c r="C46" t="s">
        <v>1647</v>
      </c>
      <c r="D46" t="s">
        <v>1648</v>
      </c>
    </row>
    <row r="47" spans="1:4" x14ac:dyDescent="0.25">
      <c r="A47" t="s">
        <v>125</v>
      </c>
      <c r="B47" t="s">
        <v>1558</v>
      </c>
      <c r="C47" t="s">
        <v>1649</v>
      </c>
      <c r="D47" t="s">
        <v>1650</v>
      </c>
    </row>
    <row r="48" spans="1:4" x14ac:dyDescent="0.25">
      <c r="A48" t="s">
        <v>129</v>
      </c>
      <c r="B48" t="s">
        <v>1558</v>
      </c>
      <c r="C48" t="s">
        <v>1651</v>
      </c>
      <c r="D48" t="s">
        <v>1652</v>
      </c>
    </row>
    <row r="49" spans="1:4" x14ac:dyDescent="0.25">
      <c r="A49" t="s">
        <v>132</v>
      </c>
      <c r="B49" t="s">
        <v>1558</v>
      </c>
      <c r="C49" t="s">
        <v>1653</v>
      </c>
      <c r="D49" t="s">
        <v>1654</v>
      </c>
    </row>
    <row r="50" spans="1:4" x14ac:dyDescent="0.25">
      <c r="A50" t="s">
        <v>106</v>
      </c>
      <c r="B50" t="s">
        <v>1558</v>
      </c>
      <c r="C50" t="s">
        <v>1655</v>
      </c>
      <c r="D50" t="s">
        <v>1656</v>
      </c>
    </row>
    <row r="51" spans="1:4" x14ac:dyDescent="0.25">
      <c r="A51" t="s">
        <v>115</v>
      </c>
      <c r="B51" t="s">
        <v>1558</v>
      </c>
      <c r="C51" t="s">
        <v>1657</v>
      </c>
      <c r="D51" t="s">
        <v>1658</v>
      </c>
    </row>
    <row r="52" spans="1:4" x14ac:dyDescent="0.25">
      <c r="A52" t="s">
        <v>122</v>
      </c>
      <c r="B52" t="s">
        <v>1558</v>
      </c>
      <c r="C52" t="s">
        <v>1659</v>
      </c>
      <c r="D52" t="s">
        <v>1660</v>
      </c>
    </row>
    <row r="53" spans="1:4" x14ac:dyDescent="0.25">
      <c r="A53" t="s">
        <v>126</v>
      </c>
      <c r="B53" t="s">
        <v>1558</v>
      </c>
      <c r="C53" t="s">
        <v>1661</v>
      </c>
      <c r="D53" t="s">
        <v>1662</v>
      </c>
    </row>
    <row r="54" spans="1:4" x14ac:dyDescent="0.25">
      <c r="A54" t="s">
        <v>130</v>
      </c>
      <c r="B54" t="s">
        <v>1558</v>
      </c>
      <c r="C54" t="s">
        <v>1663</v>
      </c>
      <c r="D54" t="s">
        <v>1664</v>
      </c>
    </row>
    <row r="55" spans="1:4" x14ac:dyDescent="0.25">
      <c r="A55" t="s">
        <v>133</v>
      </c>
      <c r="B55" t="s">
        <v>1558</v>
      </c>
      <c r="C55" t="s">
        <v>1665</v>
      </c>
      <c r="D55" t="s">
        <v>1666</v>
      </c>
    </row>
    <row r="56" spans="1:4" x14ac:dyDescent="0.25">
      <c r="A56" t="s">
        <v>137</v>
      </c>
      <c r="B56" t="s">
        <v>1558</v>
      </c>
      <c r="C56" t="s">
        <v>1667</v>
      </c>
      <c r="D56" t="s">
        <v>1668</v>
      </c>
    </row>
    <row r="57" spans="1:4" x14ac:dyDescent="0.25">
      <c r="A57" t="s">
        <v>146</v>
      </c>
      <c r="B57" t="s">
        <v>1558</v>
      </c>
      <c r="C57" t="s">
        <v>1669</v>
      </c>
      <c r="D57" t="s">
        <v>1670</v>
      </c>
    </row>
    <row r="58" spans="1:4" x14ac:dyDescent="0.25">
      <c r="A58" t="s">
        <v>155</v>
      </c>
      <c r="B58" t="s">
        <v>1558</v>
      </c>
      <c r="C58" t="s">
        <v>1671</v>
      </c>
      <c r="D58" t="s">
        <v>1672</v>
      </c>
    </row>
    <row r="59" spans="1:4" x14ac:dyDescent="0.25">
      <c r="A59" t="s">
        <v>158</v>
      </c>
      <c r="B59" t="s">
        <v>1558</v>
      </c>
      <c r="C59" t="s">
        <v>1673</v>
      </c>
      <c r="D59" t="s">
        <v>1674</v>
      </c>
    </row>
    <row r="60" spans="1:4" x14ac:dyDescent="0.25">
      <c r="A60" t="s">
        <v>161</v>
      </c>
      <c r="B60" t="s">
        <v>1558</v>
      </c>
      <c r="C60" t="s">
        <v>1675</v>
      </c>
      <c r="D60" t="s">
        <v>1676</v>
      </c>
    </row>
    <row r="61" spans="1:4" x14ac:dyDescent="0.25">
      <c r="A61" t="s">
        <v>165</v>
      </c>
      <c r="B61" t="s">
        <v>1558</v>
      </c>
      <c r="C61" t="s">
        <v>1677</v>
      </c>
      <c r="D61" t="s">
        <v>1678</v>
      </c>
    </row>
    <row r="62" spans="1:4" x14ac:dyDescent="0.25">
      <c r="A62" t="s">
        <v>140</v>
      </c>
      <c r="B62" t="s">
        <v>1558</v>
      </c>
      <c r="C62" t="s">
        <v>1679</v>
      </c>
      <c r="D62" t="s">
        <v>1680</v>
      </c>
    </row>
    <row r="63" spans="1:4" x14ac:dyDescent="0.25">
      <c r="A63" t="s">
        <v>149</v>
      </c>
      <c r="B63" t="s">
        <v>1558</v>
      </c>
      <c r="C63" t="s">
        <v>1681</v>
      </c>
      <c r="D63" t="s">
        <v>1682</v>
      </c>
    </row>
    <row r="64" spans="1:4" x14ac:dyDescent="0.25">
      <c r="A64" t="s">
        <v>156</v>
      </c>
      <c r="B64" t="s">
        <v>1558</v>
      </c>
      <c r="C64" t="s">
        <v>1683</v>
      </c>
      <c r="D64" t="s">
        <v>1684</v>
      </c>
    </row>
    <row r="65" spans="1:4" x14ac:dyDescent="0.25">
      <c r="A65" t="s">
        <v>159</v>
      </c>
      <c r="B65" t="s">
        <v>1558</v>
      </c>
      <c r="C65" t="s">
        <v>1685</v>
      </c>
      <c r="D65" t="s">
        <v>1686</v>
      </c>
    </row>
    <row r="66" spans="1:4" x14ac:dyDescent="0.25">
      <c r="A66" t="s">
        <v>163</v>
      </c>
      <c r="B66" t="s">
        <v>1558</v>
      </c>
      <c r="C66" t="s">
        <v>1687</v>
      </c>
      <c r="D66" t="s">
        <v>1688</v>
      </c>
    </row>
    <row r="67" spans="1:4" x14ac:dyDescent="0.25">
      <c r="A67" t="s">
        <v>166</v>
      </c>
      <c r="B67" t="s">
        <v>1558</v>
      </c>
      <c r="C67" t="s">
        <v>1689</v>
      </c>
      <c r="D67" t="s">
        <v>1690</v>
      </c>
    </row>
    <row r="68" spans="1:4" x14ac:dyDescent="0.25">
      <c r="A68" t="s">
        <v>143</v>
      </c>
      <c r="B68" t="s">
        <v>1558</v>
      </c>
      <c r="C68" t="s">
        <v>1691</v>
      </c>
      <c r="D68" t="s">
        <v>1692</v>
      </c>
    </row>
    <row r="69" spans="1:4" x14ac:dyDescent="0.25">
      <c r="A69" t="s">
        <v>152</v>
      </c>
      <c r="B69" t="s">
        <v>1558</v>
      </c>
      <c r="C69" t="s">
        <v>1693</v>
      </c>
      <c r="D69" t="s">
        <v>1694</v>
      </c>
    </row>
    <row r="70" spans="1:4" x14ac:dyDescent="0.25">
      <c r="A70" t="s">
        <v>157</v>
      </c>
      <c r="B70" t="s">
        <v>1558</v>
      </c>
      <c r="C70" t="s">
        <v>1695</v>
      </c>
      <c r="D70" t="s">
        <v>1696</v>
      </c>
    </row>
    <row r="71" spans="1:4" x14ac:dyDescent="0.25">
      <c r="A71" t="s">
        <v>160</v>
      </c>
      <c r="B71" t="s">
        <v>1558</v>
      </c>
      <c r="C71" t="s">
        <v>1697</v>
      </c>
      <c r="D71" t="s">
        <v>1698</v>
      </c>
    </row>
    <row r="72" spans="1:4" x14ac:dyDescent="0.25">
      <c r="A72" t="s">
        <v>164</v>
      </c>
      <c r="B72" t="s">
        <v>1558</v>
      </c>
      <c r="C72" t="s">
        <v>1699</v>
      </c>
      <c r="D72" t="s">
        <v>1700</v>
      </c>
    </row>
    <row r="73" spans="1:4" x14ac:dyDescent="0.25">
      <c r="A73" t="s">
        <v>167</v>
      </c>
      <c r="B73" t="s">
        <v>1558</v>
      </c>
      <c r="C73" t="s">
        <v>1701</v>
      </c>
      <c r="D73" t="s">
        <v>1702</v>
      </c>
    </row>
    <row r="74" spans="1:5" x14ac:dyDescent="0.25">
      <c r="A74" t="s">
        <v>184</v>
      </c>
      <c r="B74" t="s">
        <v>1703</v>
      </c>
      <c r="C74" t="s">
        <v>1561</v>
      </c>
      <c r="D74" t="s">
        <v>1562</v>
      </c>
      <c r="E74" t="s">
        <v>1704</v>
      </c>
    </row>
    <row r="75" spans="1:5" x14ac:dyDescent="0.25">
      <c r="A75" t="s">
        <v>187</v>
      </c>
      <c r="B75" t="s">
        <v>1703</v>
      </c>
      <c r="C75" t="s">
        <v>1563</v>
      </c>
      <c r="D75" t="s">
        <v>1564</v>
      </c>
      <c r="E75" t="s">
        <v>1705</v>
      </c>
    </row>
    <row r="76" spans="1:5" x14ac:dyDescent="0.25">
      <c r="A76" t="s">
        <v>190</v>
      </c>
      <c r="B76" t="s">
        <v>1703</v>
      </c>
      <c r="C76" t="s">
        <v>1565</v>
      </c>
      <c r="D76" t="s">
        <v>1566</v>
      </c>
      <c r="E76" t="s">
        <v>1706</v>
      </c>
    </row>
    <row r="77" spans="1:5" x14ac:dyDescent="0.25">
      <c r="A77" t="s">
        <v>192</v>
      </c>
      <c r="B77" t="s">
        <v>1703</v>
      </c>
      <c r="C77" t="s">
        <v>1567</v>
      </c>
      <c r="D77" t="s">
        <v>1568</v>
      </c>
      <c r="E77" t="s">
        <v>1707</v>
      </c>
    </row>
    <row r="78" spans="1:5" x14ac:dyDescent="0.25">
      <c r="A78" t="s">
        <v>194</v>
      </c>
      <c r="B78" t="s">
        <v>1703</v>
      </c>
      <c r="C78" t="s">
        <v>1569</v>
      </c>
      <c r="D78" t="s">
        <v>1570</v>
      </c>
      <c r="E78" t="s">
        <v>1708</v>
      </c>
    </row>
    <row r="79" spans="1:5" x14ac:dyDescent="0.25">
      <c r="A79" t="s">
        <v>197</v>
      </c>
      <c r="B79" t="s">
        <v>1703</v>
      </c>
      <c r="C79" t="s">
        <v>1709</v>
      </c>
      <c r="D79" t="s">
        <v>1710</v>
      </c>
      <c r="E79" t="s">
        <v>1711</v>
      </c>
    </row>
    <row r="80" spans="1:5" x14ac:dyDescent="0.25">
      <c r="A80" t="s">
        <v>198</v>
      </c>
      <c r="B80" t="s">
        <v>1703</v>
      </c>
      <c r="C80" t="s">
        <v>1712</v>
      </c>
      <c r="D80" t="s">
        <v>1713</v>
      </c>
      <c r="E80" t="s">
        <v>1714</v>
      </c>
    </row>
    <row r="81" spans="1:5" x14ac:dyDescent="0.25">
      <c r="A81" t="s">
        <v>201</v>
      </c>
      <c r="B81" t="s">
        <v>1703</v>
      </c>
      <c r="C81" t="s">
        <v>1715</v>
      </c>
      <c r="D81" t="s">
        <v>1716</v>
      </c>
      <c r="E81" t="s">
        <v>1717</v>
      </c>
    </row>
    <row r="82" spans="1:5" x14ac:dyDescent="0.25">
      <c r="A82" t="s">
        <v>203</v>
      </c>
      <c r="B82" t="s">
        <v>1703</v>
      </c>
      <c r="C82" t="s">
        <v>1718</v>
      </c>
      <c r="D82" t="s">
        <v>1719</v>
      </c>
      <c r="E82" t="s">
        <v>1720</v>
      </c>
    </row>
    <row r="83" spans="1:5" x14ac:dyDescent="0.25">
      <c r="A83" t="s">
        <v>205</v>
      </c>
      <c r="B83" t="s">
        <v>1703</v>
      </c>
      <c r="C83" t="s">
        <v>1721</v>
      </c>
      <c r="D83" t="s">
        <v>1722</v>
      </c>
      <c r="E83" t="s">
        <v>1723</v>
      </c>
    </row>
    <row r="84" spans="1:5" x14ac:dyDescent="0.25">
      <c r="A84" t="s">
        <v>207</v>
      </c>
      <c r="B84" t="s">
        <v>1703</v>
      </c>
      <c r="C84" t="s">
        <v>1724</v>
      </c>
      <c r="D84" t="s">
        <v>1725</v>
      </c>
      <c r="E84" t="s">
        <v>1726</v>
      </c>
    </row>
    <row r="85" spans="1:5" x14ac:dyDescent="0.25">
      <c r="A85" t="s">
        <v>209</v>
      </c>
      <c r="B85" t="s">
        <v>1703</v>
      </c>
      <c r="C85" t="s">
        <v>1727</v>
      </c>
      <c r="D85" t="s">
        <v>1728</v>
      </c>
      <c r="E85" t="s">
        <v>1729</v>
      </c>
    </row>
    <row r="86" spans="1:5" x14ac:dyDescent="0.25">
      <c r="A86" t="s">
        <v>211</v>
      </c>
      <c r="B86" t="s">
        <v>1703</v>
      </c>
      <c r="C86" t="s">
        <v>1730</v>
      </c>
      <c r="D86" t="s">
        <v>1731</v>
      </c>
      <c r="E86" t="s">
        <v>1732</v>
      </c>
    </row>
    <row r="87" spans="1:5" x14ac:dyDescent="0.25">
      <c r="A87" t="s">
        <v>214</v>
      </c>
      <c r="B87" t="s">
        <v>1703</v>
      </c>
      <c r="C87" t="s">
        <v>1733</v>
      </c>
      <c r="D87" t="s">
        <v>1734</v>
      </c>
      <c r="E87" t="s">
        <v>1735</v>
      </c>
    </row>
    <row r="88" spans="1:5" x14ac:dyDescent="0.25">
      <c r="A88" t="s">
        <v>215</v>
      </c>
      <c r="B88" t="s">
        <v>1703</v>
      </c>
      <c r="C88" t="s">
        <v>1736</v>
      </c>
      <c r="D88" t="s">
        <v>1737</v>
      </c>
      <c r="E88" t="s">
        <v>1738</v>
      </c>
    </row>
    <row r="89" spans="1:5" x14ac:dyDescent="0.25">
      <c r="A89" t="s">
        <v>217</v>
      </c>
      <c r="B89" t="s">
        <v>1703</v>
      </c>
      <c r="C89" t="s">
        <v>1739</v>
      </c>
      <c r="D89" t="s">
        <v>1740</v>
      </c>
      <c r="E89" t="s">
        <v>1741</v>
      </c>
    </row>
    <row r="90" spans="1:5" x14ac:dyDescent="0.25">
      <c r="A90" t="s">
        <v>220</v>
      </c>
      <c r="B90" t="s">
        <v>1703</v>
      </c>
      <c r="C90" t="s">
        <v>1603</v>
      </c>
      <c r="D90" t="s">
        <v>1604</v>
      </c>
      <c r="E90" t="s">
        <v>1742</v>
      </c>
    </row>
    <row r="91" spans="1:5" x14ac:dyDescent="0.25">
      <c r="A91" t="s">
        <v>223</v>
      </c>
      <c r="B91" t="s">
        <v>1703</v>
      </c>
      <c r="C91" t="s">
        <v>1605</v>
      </c>
      <c r="D91" t="s">
        <v>1606</v>
      </c>
      <c r="E91" t="s">
        <v>1743</v>
      </c>
    </row>
    <row r="92" spans="1:5" x14ac:dyDescent="0.25">
      <c r="A92" t="s">
        <v>224</v>
      </c>
      <c r="B92" t="s">
        <v>1703</v>
      </c>
      <c r="C92" t="s">
        <v>1744</v>
      </c>
      <c r="D92" t="s">
        <v>1745</v>
      </c>
      <c r="E92" t="s">
        <v>1746</v>
      </c>
    </row>
    <row r="93" spans="1:5" x14ac:dyDescent="0.25">
      <c r="A93" t="s">
        <v>226</v>
      </c>
      <c r="B93" t="s">
        <v>1703</v>
      </c>
      <c r="C93" t="s">
        <v>1747</v>
      </c>
      <c r="D93" t="s">
        <v>1748</v>
      </c>
      <c r="E93" t="s">
        <v>1749</v>
      </c>
    </row>
    <row r="94" spans="1:5" x14ac:dyDescent="0.25">
      <c r="A94" t="s">
        <v>227</v>
      </c>
      <c r="B94" t="s">
        <v>1703</v>
      </c>
      <c r="C94" t="s">
        <v>1750</v>
      </c>
      <c r="D94" t="s">
        <v>1751</v>
      </c>
      <c r="E94" t="s">
        <v>1752</v>
      </c>
    </row>
    <row r="95" spans="1:5" x14ac:dyDescent="0.25">
      <c r="A95" t="s">
        <v>229</v>
      </c>
      <c r="B95" t="s">
        <v>1703</v>
      </c>
      <c r="C95" t="s">
        <v>1753</v>
      </c>
      <c r="D95" t="s">
        <v>1754</v>
      </c>
      <c r="E95" t="s">
        <v>1755</v>
      </c>
    </row>
    <row r="96" spans="1:5" x14ac:dyDescent="0.25">
      <c r="A96" t="s">
        <v>230</v>
      </c>
      <c r="B96" t="s">
        <v>1703</v>
      </c>
      <c r="C96" t="s">
        <v>1756</v>
      </c>
      <c r="D96" t="s">
        <v>1757</v>
      </c>
      <c r="E96" t="s">
        <v>1758</v>
      </c>
    </row>
    <row r="97" spans="1:5" x14ac:dyDescent="0.25">
      <c r="A97" t="s">
        <v>232</v>
      </c>
      <c r="B97" t="s">
        <v>1703</v>
      </c>
      <c r="C97" t="s">
        <v>1759</v>
      </c>
      <c r="D97" t="s">
        <v>1760</v>
      </c>
      <c r="E97" t="s">
        <v>1761</v>
      </c>
    </row>
    <row r="98" spans="1:5" x14ac:dyDescent="0.25">
      <c r="A98" t="s">
        <v>234</v>
      </c>
      <c r="B98" t="s">
        <v>1703</v>
      </c>
      <c r="C98" t="s">
        <v>1762</v>
      </c>
      <c r="D98" t="s">
        <v>1763</v>
      </c>
      <c r="E98" t="s">
        <v>1764</v>
      </c>
    </row>
    <row r="99" spans="1:5" x14ac:dyDescent="0.25">
      <c r="A99" t="s">
        <v>236</v>
      </c>
      <c r="B99" t="s">
        <v>1703</v>
      </c>
      <c r="C99" t="s">
        <v>1631</v>
      </c>
      <c r="D99" t="s">
        <v>1632</v>
      </c>
      <c r="E99" t="s">
        <v>1765</v>
      </c>
    </row>
    <row r="100" spans="1:5" x14ac:dyDescent="0.25">
      <c r="A100" t="s">
        <v>238</v>
      </c>
      <c r="B100" t="s">
        <v>1703</v>
      </c>
      <c r="C100" t="s">
        <v>1633</v>
      </c>
      <c r="D100" t="s">
        <v>1634</v>
      </c>
      <c r="E100" t="s">
        <v>1766</v>
      </c>
    </row>
    <row r="101" spans="1:5" x14ac:dyDescent="0.25">
      <c r="A101" t="s">
        <v>240</v>
      </c>
      <c r="B101" t="s">
        <v>1703</v>
      </c>
      <c r="C101" t="s">
        <v>1635</v>
      </c>
      <c r="D101" t="s">
        <v>1636</v>
      </c>
      <c r="E101" t="s">
        <v>1767</v>
      </c>
    </row>
    <row r="102" spans="1:5" x14ac:dyDescent="0.25">
      <c r="A102" t="s">
        <v>242</v>
      </c>
      <c r="B102" t="s">
        <v>1703</v>
      </c>
      <c r="C102" t="s">
        <v>1768</v>
      </c>
      <c r="D102" t="s">
        <v>1769</v>
      </c>
      <c r="E102" t="s">
        <v>1770</v>
      </c>
    </row>
    <row r="103" spans="1:5" x14ac:dyDescent="0.25">
      <c r="A103" t="s">
        <v>244</v>
      </c>
      <c r="B103" t="s">
        <v>1703</v>
      </c>
      <c r="C103" t="s">
        <v>1771</v>
      </c>
      <c r="D103" t="s">
        <v>1772</v>
      </c>
      <c r="E103" t="s">
        <v>1773</v>
      </c>
    </row>
    <row r="104" spans="1:5" x14ac:dyDescent="0.25">
      <c r="A104" t="s">
        <v>247</v>
      </c>
      <c r="B104" t="s">
        <v>1703</v>
      </c>
      <c r="C104" t="s">
        <v>1774</v>
      </c>
      <c r="D104" t="s">
        <v>1775</v>
      </c>
      <c r="E104" t="s">
        <v>1776</v>
      </c>
    </row>
    <row r="105" spans="1:5" x14ac:dyDescent="0.25">
      <c r="A105" t="s">
        <v>250</v>
      </c>
      <c r="B105" t="s">
        <v>1703</v>
      </c>
      <c r="C105" t="s">
        <v>1669</v>
      </c>
      <c r="D105" t="s">
        <v>1670</v>
      </c>
      <c r="E105" t="s">
        <v>1777</v>
      </c>
    </row>
    <row r="106" spans="1:4" x14ac:dyDescent="0.25">
      <c r="A106" t="s">
        <v>1778</v>
      </c>
      <c r="B106" t="s">
        <v>1779</v>
      </c>
      <c r="C106" t="s">
        <v>1780</v>
      </c>
      <c r="D106" t="s">
        <v>1781</v>
      </c>
    </row>
    <row r="107" spans="1:4" x14ac:dyDescent="0.25">
      <c r="A107" t="s">
        <v>1782</v>
      </c>
      <c r="B107" t="s">
        <v>1779</v>
      </c>
      <c r="C107" t="s">
        <v>1783</v>
      </c>
      <c r="D107" t="s">
        <v>1784</v>
      </c>
    </row>
  </sheetData>
  <sheetProtection sheet="1" selectUnlockedCell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/>
  </sheetViews>
  <sheetFormatPr defaultRowHeight="15" outlineLevelRow="0" outlineLevelCol="0" x14ac:dyDescent="55"/>
  <cols>
    <col min="1" max="2" width="25" customWidth="1"/>
    <col min="3" max="3" width="15" customWidth="1"/>
    <col min="4" max="4" width="60" customWidth="1"/>
  </cols>
  <sheetData>
    <row r="1" ht="30" customHeight="1" spans="1:4" x14ac:dyDescent="0.25">
      <c r="A1" s="53" t="s">
        <v>1785</v>
      </c>
      <c r="B1" s="53"/>
      <c r="C1" s="53"/>
      <c r="D1" s="53"/>
    </row>
    <row r="2" ht="20" customHeight="1" spans="1:4" x14ac:dyDescent="0.25">
      <c r="A2" s="50" t="s">
        <v>1786</v>
      </c>
      <c r="B2" s="50" t="s">
        <v>1787</v>
      </c>
      <c r="C2" s="50" t="s">
        <v>1788</v>
      </c>
      <c r="D2" s="50" t="s">
        <v>1789</v>
      </c>
    </row>
    <row r="3" ht="20" customHeight="1" spans="1:4" x14ac:dyDescent="0.25">
      <c r="A3" s="54" t="s">
        <v>1790</v>
      </c>
      <c r="B3" s="55" t="s">
        <v>1791</v>
      </c>
      <c r="C3" s="56" t="s">
        <v>1792</v>
      </c>
      <c r="D3" s="57" t="s">
        <v>1793</v>
      </c>
    </row>
    <row r="4" ht="20" customHeight="1" spans="1:4" x14ac:dyDescent="0.25">
      <c r="A4" s="54"/>
      <c r="B4" s="58" t="s">
        <v>1794</v>
      </c>
      <c r="C4" s="59" t="s">
        <v>1795</v>
      </c>
      <c r="D4" s="60" t="s">
        <v>1796</v>
      </c>
    </row>
    <row r="5" ht="20" customHeight="1" spans="1:4" x14ac:dyDescent="0.25">
      <c r="A5" s="54"/>
      <c r="B5" s="55" t="s">
        <v>1797</v>
      </c>
      <c r="C5" s="56" t="s">
        <v>1798</v>
      </c>
      <c r="D5" s="57" t="s">
        <v>1799</v>
      </c>
    </row>
    <row r="6" ht="20" customHeight="1" spans="1:4" x14ac:dyDescent="0.25">
      <c r="A6" s="54"/>
      <c r="B6" s="58" t="s">
        <v>1800</v>
      </c>
      <c r="C6" s="59" t="s">
        <v>1801</v>
      </c>
      <c r="D6" s="60" t="s">
        <v>1802</v>
      </c>
    </row>
    <row r="7" ht="20" customHeight="1" spans="1:4" x14ac:dyDescent="0.25">
      <c r="A7" s="54" t="s">
        <v>1803</v>
      </c>
      <c r="B7" s="55" t="s">
        <v>1804</v>
      </c>
      <c r="C7" s="56" t="s">
        <v>1805</v>
      </c>
      <c r="D7" s="57" t="s">
        <v>1806</v>
      </c>
    </row>
    <row r="8" ht="20" customHeight="1" spans="1:4" x14ac:dyDescent="0.25">
      <c r="A8" s="54"/>
      <c r="B8" s="58" t="s">
        <v>1807</v>
      </c>
      <c r="C8" s="59" t="s">
        <v>1808</v>
      </c>
      <c r="D8" s="60" t="s">
        <v>1809</v>
      </c>
    </row>
    <row r="9" ht="20" customHeight="1" spans="1:4" x14ac:dyDescent="0.25">
      <c r="A9" s="54"/>
      <c r="B9" s="55" t="s">
        <v>1810</v>
      </c>
      <c r="C9" s="56" t="s">
        <v>1811</v>
      </c>
      <c r="D9" s="57" t="s">
        <v>1812</v>
      </c>
    </row>
    <row r="10" ht="20" customHeight="1" spans="1:4" x14ac:dyDescent="0.25">
      <c r="A10" s="54"/>
      <c r="B10" s="58" t="s">
        <v>1813</v>
      </c>
      <c r="C10" s="59" t="s">
        <v>1814</v>
      </c>
      <c r="D10" s="60" t="s">
        <v>1815</v>
      </c>
    </row>
    <row r="11" ht="20" customHeight="1" spans="1:4" x14ac:dyDescent="0.25">
      <c r="A11" s="54"/>
      <c r="B11" s="55" t="s">
        <v>1816</v>
      </c>
      <c r="C11" s="56" t="s">
        <v>1817</v>
      </c>
      <c r="D11" s="57" t="s">
        <v>1818</v>
      </c>
    </row>
    <row r="12" ht="20" customHeight="1" spans="1:4" x14ac:dyDescent="0.25">
      <c r="A12" s="54"/>
      <c r="B12" s="58" t="s">
        <v>1819</v>
      </c>
      <c r="C12" s="59" t="s">
        <v>1820</v>
      </c>
      <c r="D12" s="60" t="s">
        <v>1821</v>
      </c>
    </row>
    <row r="13" ht="20" customHeight="1" spans="1:4" x14ac:dyDescent="0.25">
      <c r="A13" s="54" t="s">
        <v>1822</v>
      </c>
      <c r="B13" s="55" t="s">
        <v>1823</v>
      </c>
      <c r="C13" s="56" t="s">
        <v>1824</v>
      </c>
      <c r="D13" s="57" t="s">
        <v>1825</v>
      </c>
    </row>
    <row r="14" ht="20" customHeight="1" spans="1:4" x14ac:dyDescent="0.25">
      <c r="A14" s="54"/>
      <c r="B14" s="58" t="s">
        <v>1826</v>
      </c>
      <c r="C14" s="59" t="s">
        <v>1824</v>
      </c>
      <c r="D14" s="60" t="s">
        <v>1827</v>
      </c>
    </row>
    <row r="16" spans="1:4" x14ac:dyDescent="0.25">
      <c r="A16" s="52" t="s">
        <v>1828</v>
      </c>
      <c r="B16" s="52"/>
      <c r="C16" s="52"/>
      <c r="D16" s="52"/>
    </row>
  </sheetData>
  <mergeCells count="5">
    <mergeCell ref="A1:D1"/>
    <mergeCell ref="A3:A6"/>
    <mergeCell ref="A7:A12"/>
    <mergeCell ref="A13:A14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Fase de Grupos</vt:lpstr>
      <vt:lpstr>CALC</vt:lpstr>
      <vt:lpstr>Eliminatorias</vt:lpstr>
      <vt:lpstr>AWARDS_DATA</vt:lpstr>
      <vt:lpstr>Premios</vt:lpstr>
      <vt:lpstr>MAP</vt:lpstr>
      <vt:lpstr>Reglas de Puntuación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Bracket Mundial 2026</dc:creator>
  <dc:title/>
  <dc:subject/>
  <dc:description/>
  <cp:keywords/>
  <cp:category/>
  <cp:lastModifiedBy>Unknown</cp:lastModifiedBy>
  <dcterms:created xsi:type="dcterms:W3CDTF">2026-06-12T17:21:29Z</dcterms:created>
  <dcterms:modified xsi:type="dcterms:W3CDTF">2026-06-12T17:21:29Z</dcterms:modified>
</cp:coreProperties>
</file>